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Mês" sheetId="2" state="visible" r:id="rId2"/>
    <sheet xmlns:r="http://schemas.openxmlformats.org/officeDocument/2006/relationships" name="Família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Páginas" sheetId="5" state="visible" r:id="rId5"/>
    <sheet xmlns:r="http://schemas.openxmlformats.org/officeDocument/2006/relationships" name="Listas" sheetId="6" state="hidden" r:id="rId6"/>
  </sheets>
  <definedNames>
    <definedName name="_xlnm._FilterDatabase" localSheetId="2" hidden="1">'Famílias'!$A$2:$P$18</definedName>
    <definedName name="_xlnm._FilterDatabase" localSheetId="3" hidden="1">'Produtos'!$A$2:$W$137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+0.00;-0.00;0.00"/>
  </numFmts>
  <fonts count="10">
    <font>
      <name val="Calibri"/>
      <family val="2"/>
      <color theme="1"/>
      <sz val="11"/>
      <scheme val="minor"/>
    </font>
    <font>
      <name val="Arial"/>
      <b val="1"/>
      <color rgb="001D1D1F"/>
      <sz val="22"/>
    </font>
    <font>
      <name val="Arial"/>
      <color rgb="00606F7F"/>
      <sz val="10"/>
    </font>
    <font>
      <name val="Arial"/>
      <b val="1"/>
      <color rgb="00606F7F"/>
      <sz val="9"/>
    </font>
    <font>
      <name val="Arial"/>
      <b val="1"/>
      <color rgb="001D1D1F"/>
      <sz val="10"/>
    </font>
    <font>
      <name val="Arial"/>
      <color rgb="001D1D1F"/>
      <sz val="10"/>
    </font>
    <font>
      <name val="Arial"/>
      <b val="1"/>
      <color rgb="00FFFFFF"/>
      <sz val="10"/>
    </font>
    <font>
      <name val="Arial"/>
      <color rgb="00606F7F"/>
      <sz val="9"/>
    </font>
    <font>
      <name val="Arial"/>
      <color rgb="00606F7F"/>
      <sz val="8"/>
    </font>
    <font>
      <name val="Arial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FAC617"/>
      </patternFill>
    </fill>
    <fill>
      <patternFill patternType="solid">
        <fgColor rgb="001D1D1F"/>
      </patternFill>
    </fill>
    <fill>
      <patternFill patternType="solid">
        <fgColor rgb="00606F7F"/>
      </patternFill>
    </fill>
    <fill>
      <patternFill patternType="solid">
        <fgColor rgb="00DADFE2"/>
      </patternFill>
    </fill>
    <fill>
      <patternFill patternType="solid">
        <fgColor rgb="00F7B200"/>
      </patternFill>
    </fill>
    <fill>
      <patternFill patternType="solid">
        <fgColor rgb="0000497A"/>
      </patternFill>
    </fill>
    <fill>
      <patternFill patternType="solid">
        <fgColor rgb="00EF7F02"/>
      </patternFill>
    </fill>
    <fill>
      <patternFill patternType="solid">
        <fgColor rgb="003F4A3C"/>
      </patternFill>
    </fill>
    <fill>
      <patternFill patternType="solid">
        <fgColor rgb="00D0DDE4"/>
      </patternFill>
    </fill>
    <fill>
      <patternFill patternType="solid">
        <fgColor rgb="00414B55"/>
      </patternFill>
    </fill>
    <fill>
      <patternFill patternType="solid">
        <fgColor rgb="00F5F5F7"/>
      </patternFill>
    </fill>
  </fills>
  <borders count="5">
    <border>
      <left/>
      <right/>
      <top/>
      <bottom/>
      <diagonal/>
    </border>
    <border>
      <bottom style="thin">
        <color rgb="00D9D9DE"/>
      </bottom>
    </border>
    <border>
      <left style="thick">
        <color rgb="00FFFFFF"/>
      </left>
    </border>
    <border/>
    <border>
      <top style="medium">
        <color rgb="001D1D1F"/>
      </top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6" fillId="3" borderId="0" applyAlignment="1" pivotButton="0" quotePrefix="0" xfId="0">
      <alignment horizontal="left" vertical="center" wrapText="1" indent="1"/>
    </xf>
    <xf numFmtId="0" fontId="6" fillId="4" borderId="0" applyAlignment="1" pivotButton="0" quotePrefix="0" xfId="0">
      <alignment horizontal="left" vertical="center" wrapText="1" indent="1"/>
    </xf>
    <xf numFmtId="0" fontId="4" fillId="2" borderId="0" pivotButton="0" quotePrefix="0" xfId="0"/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49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2" borderId="2" applyAlignment="1" pivotButton="0" quotePrefix="0" xfId="0">
      <alignment horizontal="left" vertical="center" indent="1"/>
    </xf>
    <xf numFmtId="0" fontId="4" fillId="2" borderId="3" applyAlignment="1" pivotButton="0" quotePrefix="0" xfId="0">
      <alignment horizontal="left" vertical="center" inden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9" fillId="11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/>
    </xf>
    <xf numFmtId="0" fontId="5" fillId="0" borderId="1" pivotButton="0" quotePrefix="0" xfId="0"/>
    <xf numFmtId="49" fontId="5" fillId="0" borderId="1" pivotButton="0" quotePrefix="0" xfId="0"/>
    <xf numFmtId="49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7" fillId="12" borderId="1" pivotButton="0" quotePrefix="0" xfId="0"/>
    <xf numFmtId="164" fontId="5" fillId="0" borderId="1" pivotButton="0" quotePrefix="0" xfId="0"/>
    <xf numFmtId="0" fontId="5" fillId="0" borderId="4" pivotButton="0" quotePrefix="0" xfId="0"/>
    <xf numFmtId="49" fontId="5" fillId="0" borderId="4" pivotButton="0" quotePrefix="0" xfId="0"/>
    <xf numFmtId="49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165" fontId="5" fillId="0" borderId="4" applyAlignment="1" pivotButton="0" quotePrefix="0" xfId="0">
      <alignment horizontal="center"/>
    </xf>
    <xf numFmtId="0" fontId="7" fillId="12" borderId="4" pivotButton="0" quotePrefix="0" xfId="0"/>
    <xf numFmtId="164" fontId="5" fillId="0" borderId="4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7" fillId="12" borderId="0" pivotButton="0" quotePrefix="0" xfId="0"/>
    <xf numFmtId="164" fontId="0" fillId="0" borderId="0" pivotButton="0" quotePrefix="0" xfId="0"/>
    <xf numFmtId="0" fontId="2" fillId="12" borderId="1" pivotButton="0" quotePrefix="0" xfId="0"/>
    <xf numFmtId="0" fontId="2" fillId="1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Promovix</author>
  </authors>
  <commentList>
    <comment ref="D1" authorId="0" shapeId="0">
      <text>
        <t>Uso interno da skill. Não mude.</t>
      </text>
    </comment>
  </commentList>
</comments>
</file>

<file path=xl/comments/comment2.xml><?xml version="1.0" encoding="utf-8"?>
<comments xmlns="http://schemas.openxmlformats.org/spreadsheetml/2006/main">
  <authors>
    <author>Promovix</author>
  </authors>
  <commentList>
    <comment ref="A2" authorId="0" shapeId="0">
      <text>
        <t>Nome em maiúsculas, igual vai sair no título: KODAK SINGLE.</t>
      </text>
    </comment>
    <comment ref="B2" authorId="0" shapeId="0">
      <text>
        <t>Linha pequena embaixo do título. Ex.: LENTES DE VISÃO SIMPLES DIGITAIS  //  LENTES KODAK</t>
      </text>
    </comment>
    <comment ref="C2" authorId="0" shapeId="0">
      <text>
        <t>Cor do cabeçalho, no formato #RRGGBB. Kodak e Vix Total #F7B200; Espace #EF7F02; Freevix #00497A; Essilor surfaçadas #3F4A3C; lente pronta Essilor #414B55; Optview #D0DDE4; Optfácil e Solar #DADFE2.</t>
      </text>
    </comment>
    <comment ref="D2" authorId="0" shapeId="0">
      <text>
        <t>Constantes da família, separadas por ponto e vírgula: Cil. até -6.00;Add. 1.00 a 3.50</t>
      </text>
    </comment>
    <comment ref="E2" authorId="0" shapeId="0">
      <text>
        <t>Títulos das colunas de preço, de 1 a 4, separados por ponto e vírgula. Na aba Produtos, Preço 1 é a primeira coluna daqui, Preço 2 a segunda...</t>
      </text>
    </comment>
    <comment ref="F2" authorId="0" shapeId="0">
      <text>
        <t>Números das colunas em oferta (faixa amarela e selo). Ex.: 2;3. Vazio = sem promoção.</t>
      </text>
    </comment>
    <comment ref="G2" authorId="0" shapeId="0">
      <text>
        <t>S = Reflecta Guard e Blue calculados a partir do Sem A.R. + acréscimos da aba Mês.</t>
      </text>
    </comment>
    <comment ref="H2" authorId="0" shapeId="0">
      <text>
        <t>S = faixas "ÍNDICE 1.50" entre os grupos. Só em tabela longa de marca própria (Vix Total, Freevix).</t>
      </text>
    </comment>
    <comment ref="I2" authorId="0" shapeId="0">
      <text>
        <t>S = coluna Tratamento (texto + bolinhas). Usada nas lentes acabadas.</t>
      </text>
    </comment>
    <comment ref="J2" authorId="0" shapeId="0">
      <text>
        <t>Vazio = "Disponibilidade". Na Solar: Curva | Diâm.</t>
      </text>
    </comment>
    <comment ref="K2" authorId="0" shapeId="0">
      <text>
        <t>Largura da coluna em pontos. Padrão 70; lente pronta e acabada 92 a 95. Aumente se a skill avisar estouro.</t>
      </text>
    </comment>
    <comment ref="L2" authorId="0" shapeId="0">
      <text>
        <t>S = pílulas no cabeçalho explicando os destaques (Fotossensível, RX, Transitions).</t>
      </text>
    </comment>
    <comment ref="M2" authorId="0" shapeId="0">
      <text>
        <t>S = selo "MONTAGEM LENTE PRONTA R$15" no canto do cabeçalho.</t>
      </text>
    </comment>
    <comment ref="N2" authorId="0" shapeId="0">
      <text>
        <t>S = família curta sai em 2 colunas, sem cabeçalho grande (ex.: Solar). Só com 1 coluna de preço.</t>
      </text>
    </comment>
    <comment ref="O2" authorId="0" shapeId="0">
      <text>
        <t>Automático: quantos produtos desta família há na aba Produtos.</t>
      </text>
    </comment>
    <comment ref="P2" authorId="0" shapeId="0">
      <text>
        <t>Automático: em que página a família entra (aba Páginas).</t>
      </text>
    </comment>
  </commentList>
</comments>
</file>

<file path=xl/comments/comment3.xml><?xml version="1.0" encoding="utf-8"?>
<comments xmlns="http://schemas.openxmlformats.org/spreadsheetml/2006/main">
  <authors>
    <author>Promovix</author>
  </authors>
  <commentList>
    <comment ref="A2" authorId="0" shapeId="0">
      <text>
        <t>Escolha na lista (vem da aba Famílias).</t>
      </text>
    </comment>
    <comment ref="B2" authorId="0" shapeId="0">
      <text>
        <t>Código Vixlens. Vazio só quando a linha tem 2 ou mais cores com código (sai a seta ↓).</t>
      </text>
    </comment>
    <comment ref="C2" authorId="0" shapeId="0">
      <text>
        <t>Escolha na lista: 1.50, 1.56, 1.59, 1.67...</t>
      </text>
    </comment>
    <comment ref="D2" authorId="0" shapeId="0">
      <text>
        <t>Como sai na tabela. "Transitions Gen S" e "Transitions XTRActive" no nome viram pílula colorida sozinhos.</t>
      </text>
    </comment>
    <comment ref="E2" authorId="0" shapeId="0">
      <text>
        <t>S = selo BLUE UV ao lado do nome.</t>
      </text>
    </comment>
    <comment ref="F2" authorId="0" shapeId="0">
      <text>
        <t>Bolinha antes do nome, na lente pronta: verde, azul ou roxo.</t>
      </text>
    </comment>
    <comment ref="G2" authorId="0" shapeId="0">
      <text>
        <t>FOTO = fundo azul + contorno verde (fotossensível que não é Transitions). RX = contorno azul (cilíndrico -2.25 a -4.00).</t>
      </text>
    </comment>
    <comment ref="H2" authorId="0" shapeId="0">
      <text>
        <t>Só nas famílias com Coluna Tratamento = S. Ex.: FastKöt, FastKöt SH, AR.</t>
      </text>
    </comment>
    <comment ref="I2" authorId="0" shapeId="0">
      <text>
        <t>Bolinhas depois do tratamento, separadas por ponto e vírgula: verde;azul</t>
      </text>
    </comment>
    <comment ref="J2" authorId="0" shapeId="0">
      <text>
        <t>Maior esférico, com sinal: +6.00</t>
      </text>
    </comment>
    <comment ref="K2" authorId="0" shapeId="0">
      <text>
        <t>Menor esférico, com sinal: -10.00</t>
      </text>
    </comment>
    <comment ref="L2" authorId="0" shapeId="0">
      <text>
        <t>Texto livre. Ex.: até -2.00 ou 0.00 a -2.00</t>
      </text>
    </comment>
    <comment ref="M2" authorId="0" shapeId="0">
      <text>
        <t>Adição, texto livre. Ex.: 1.00 a 3.00</t>
      </text>
    </comment>
    <comment ref="N2" authorId="0" shapeId="0">
      <text>
        <t>Diâmetro em mm. Ex.: 70</t>
      </text>
    </comment>
    <comment ref="O2" authorId="0" shapeId="0">
      <text>
        <t>Só lente solar. Curva + diâmetro substituem o esférico.</t>
      </text>
    </comment>
    <comment ref="P2" authorId="0" shapeId="0">
      <text>
        <t>Terceira linha da disponibilidade. Ex.: Esf. -10.25 a -12.00 sem cil.</t>
      </text>
    </comment>
    <comment ref="Q2" authorId="0" shapeId="0">
      <text>
        <t>Automático: o que é Preço 1, 2, 3 e 4 nesta família.</t>
      </text>
    </comment>
    <comment ref="R2" authorId="0" shapeId="0">
      <text>
        <t>Primeira coluna de preço da família (veja "Colunas desta família").</t>
      </text>
    </comment>
    <comment ref="S2" authorId="0" shapeId="0">
      <text>
        <t>Segunda coluna. Na Regra 50%, deixe em branco: a skill calcula.</t>
      </text>
    </comment>
    <comment ref="T2" authorId="0" shapeId="0">
      <text>
        <t>Terceira coluna. Na Regra 50%, deixe em branco: a skill calcula.</t>
      </text>
    </comment>
    <comment ref="U2" authorId="0" shapeId="0">
      <text>
        <t>Quarta coluna, se a família tiver.</t>
      </text>
    </comment>
    <comment ref="V2" authorId="0" shapeId="0">
      <text>
        <t>Nota pequena embaixo de um preço, no formato "2: só Cinza 0059" (número da coluna, dois-pontos, texto).</t>
      </text>
    </comment>
    <comment ref="W2" authorId="0" shapeId="0">
      <text>
        <t>Formato "8110 Cinza; 8111 Marrom". 2 ou mais = linha de bolinhas embaixo. 1 com código = bolinha ao lado do nome. Sem código (G15) = só a bolinha.</t>
      </text>
    </comment>
  </commentList>
</comments>
</file>

<file path=xl/comments/comment4.xml><?xml version="1.0" encoding="utf-8"?>
<comments xmlns="http://schemas.openxmlformats.org/spreadsheetml/2006/main">
  <authors>
    <author>Promovix</author>
  </authors>
  <commentList>
    <comment ref="A2" authorId="0" shapeId="0">
      <text>
        <t>Número da página. A ordem das linhas é a ordem dos blocos dentro da página.</t>
      </text>
    </comment>
    <comment ref="B2" authorId="0" shapeId="0">
      <text>
        <t>Escolha na lista: uma família ou um bloco especial (CAPA, FAIXA_50, FAIXA_MONTAGEM, VIXCLUB).</t>
      </text>
    </comment>
    <comment ref="C2" authorId="0" shapeId="0">
      <text>
        <t>Automático.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AC617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</cols>
  <sheetData>
    <row r="1"/>
    <row r="2">
      <c r="B2" s="1" t="inlineStr">
        <is>
          <t>PROMOVIX</t>
        </is>
      </c>
    </row>
    <row r="3">
      <c r="B3" s="2" t="inlineStr">
        <is>
          <t>Dados da tabela promocional do mês. Quem preenche: comercial. Quem monta no Figma: /promovix.</t>
        </is>
      </c>
    </row>
    <row r="4"/>
    <row r="5">
      <c r="B5" s="3" t="inlineStr">
        <is>
          <t>PASSO A PASSO</t>
        </is>
      </c>
    </row>
    <row r="6" ht="30" customHeight="1">
      <c r="B6" s="4" t="inlineStr">
        <is>
          <t>1. Mês</t>
        </is>
      </c>
      <c r="C6" s="5" t="inlineStr">
        <is>
          <t>Troque mês, ano e validade. Os textos das faixas, do selo e do VixClub só mudam se a campanha mudar.</t>
        </is>
      </c>
    </row>
    <row r="7" ht="30" customHeight="1">
      <c r="B7" s="4" t="inlineStr">
        <is>
          <t>2. Famílias</t>
        </is>
      </c>
      <c r="C7" s="5" t="inlineStr">
        <is>
          <t>Uma linha por família (KODAK SINGLE, OPTVIEW...). Família nova: preencha uma linha nova aqui antes de lançar os produtos.</t>
        </is>
      </c>
    </row>
    <row r="8" ht="30" customHeight="1">
      <c r="B8" s="4" t="inlineStr">
        <is>
          <t>3. Produtos</t>
        </is>
      </c>
      <c r="C8" s="5" t="inlineStr">
        <is>
          <t>Uma linha por linha impressa, na ordem em que aparece na tabela. Escolha a família na lista e preencha preço e grade.</t>
        </is>
      </c>
    </row>
    <row r="9" ht="30" customHeight="1">
      <c r="B9" s="4" t="inlineStr">
        <is>
          <t>4. Páginas</t>
        </is>
      </c>
      <c r="C9" s="5" t="inlineStr">
        <is>
          <t>Diga em que página entra cada família e em que ordem. Blocos especiais: CAPA, FAIXA_50, FAIXA_MONTAGEM, VIXCLUB.</t>
        </is>
      </c>
    </row>
    <row r="10" ht="30" customHeight="1">
      <c r="B10" s="4" t="inlineStr">
        <is>
          <t>5. Montar</t>
        </is>
      </c>
      <c r="C10" s="5" t="inlineStr">
        <is>
          <t>Salve e peça "/promovix" no Claude com este arquivo. Ela confere tudo antes de ir ao Figma e avisa o que estiver errado.</t>
        </is>
      </c>
    </row>
    <row r="11"/>
    <row r="12">
      <c r="B12" s="3" t="inlineStr">
        <is>
          <t>LEGENDA</t>
        </is>
      </c>
    </row>
    <row r="13" ht="30" customHeight="1">
      <c r="B13" s="6" t="inlineStr">
        <is>
          <t>Faixa amarela</t>
        </is>
      </c>
      <c r="C13" s="5" t="inlineStr">
        <is>
          <t>Grupo de colunas.</t>
        </is>
      </c>
    </row>
    <row r="14" ht="30" customHeight="1">
      <c r="B14" s="7" t="inlineStr">
        <is>
          <t>Título preto</t>
        </is>
      </c>
      <c r="C14" s="5" t="inlineStr">
        <is>
          <t>Coluna para preencher. Passe o mouse no título: a nota explica o campo.</t>
        </is>
      </c>
    </row>
    <row r="15" ht="30" customHeight="1">
      <c r="B15" s="8" t="inlineStr">
        <is>
          <t>Título cinza</t>
        </is>
      </c>
      <c r="C15" s="5" t="inlineStr">
        <is>
          <t>Coluna automática, só para conferência. Não precisa mexer.</t>
        </is>
      </c>
    </row>
    <row r="16" ht="30" customHeight="1">
      <c r="B16" s="4" t="inlineStr">
        <is>
          <t>Seta na célula</t>
        </is>
      </c>
      <c r="C16" s="5" t="inlineStr">
        <is>
          <t>Lista suspensa: escolha em vez de digitar.</t>
        </is>
      </c>
    </row>
    <row r="17"/>
    <row r="18">
      <c r="B18" s="3" t="inlineStr">
        <is>
          <t>REGRAS QUE A SKILL CONFERE</t>
        </is>
      </c>
    </row>
    <row r="19" ht="30" customHeight="1">
      <c r="B19" s="4" t="inlineStr">
        <is>
          <t>Regra 50%</t>
        </is>
      </c>
      <c r="C19" s="5" t="inlineStr">
        <is>
          <t>Nas famílias com Regra 50% = S, deixe Reflecta Guard e Blue em branco: a skill calcula Sem A.R. + acréscimos da aba Mês. Se preencher, ela confere.</t>
        </is>
      </c>
    </row>
    <row r="20" ht="30" customHeight="1">
      <c r="B20" s="4" t="inlineStr">
        <is>
          <t>Transitions</t>
        </is>
      </c>
      <c r="C20" s="5" t="inlineStr">
        <is>
          <t>Escreva "Transitions Gen S" ou "Transitions XTRActive" no nome do produto. A pílula colorida sai sozinha, não precisa marcar nada.</t>
        </is>
      </c>
    </row>
    <row r="21" ht="30" customHeight="1">
      <c r="B21" s="4" t="inlineStr">
        <is>
          <t>Cores</t>
        </is>
      </c>
      <c r="C21" s="5" t="inlineStr">
        <is>
          <t>Códigos por cor no formato "8110 Cinza; 8111 Marrom". Ordem Gen S: Cinza, Marrom, Verde, Ametista, Safira, Âmbar, Esmeralda, Rubi.</t>
        </is>
      </c>
    </row>
    <row r="22" ht="30" customHeight="1">
      <c r="B22" s="4" t="inlineStr">
        <is>
          <t>Seta ↓</t>
        </is>
      </c>
      <c r="C22" s="5" t="inlineStr">
        <is>
          <t>Código vazio + 2 ou mais cores = a linha sai com ↓ e os códigos aparecem na linha de bolinhas logo abaixo.</t>
        </is>
      </c>
    </row>
    <row r="23" ht="30" customHeight="1">
      <c r="B23" s="4" t="inlineStr">
        <is>
          <t>Preço</t>
        </is>
      </c>
      <c r="C23" s="5" t="inlineStr">
        <is>
          <t>A skill lê, confere e monta. Ela não inventa valor: preço é decisão de quem preenche.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1D1F"/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70" customWidth="1" min="3" max="3"/>
    <col hidden="1" width="18" customWidth="1" min="4" max="4"/>
  </cols>
  <sheetData>
    <row r="1" ht="44" customHeight="1">
      <c r="A1" s="9" t="inlineStr">
        <is>
          <t>Campo</t>
        </is>
      </c>
      <c r="B1" s="9" t="inlineStr">
        <is>
          <t>Valor</t>
        </is>
      </c>
      <c r="C1" s="9" t="inlineStr">
        <is>
          <t>Dica</t>
        </is>
      </c>
      <c r="D1" s="10" t="inlineStr">
        <is>
          <t>chave</t>
        </is>
      </c>
    </row>
    <row r="2">
      <c r="A2" s="11" t="inlineStr">
        <is>
          <t>PERÍODO</t>
        </is>
      </c>
      <c r="B2" s="11" t="n"/>
      <c r="C2" s="11" t="n"/>
      <c r="D2" s="11" t="n"/>
    </row>
    <row r="3" ht="18" customHeight="1">
      <c r="A3" s="4" t="inlineStr">
        <is>
          <t>Mês</t>
        </is>
      </c>
      <c r="B3" s="5" t="inlineStr">
        <is>
          <t>OUTUBRO</t>
        </is>
      </c>
      <c r="C3" s="12" t="inlineStr">
        <is>
          <t>Em maiúsculas: OUTUBRO, NOVEMBRO...</t>
        </is>
      </c>
      <c r="D3" s="13" t="inlineStr">
        <is>
          <t>mes</t>
        </is>
      </c>
    </row>
    <row r="4" ht="18" customHeight="1">
      <c r="A4" s="4" t="inlineStr">
        <is>
          <t>Ano (2 dígitos)</t>
        </is>
      </c>
      <c r="B4" s="14" t="inlineStr">
        <is>
          <t>26</t>
        </is>
      </c>
      <c r="C4" s="12" t="inlineStr">
        <is>
          <t>Dois dígitos.</t>
        </is>
      </c>
      <c r="D4" s="13" t="inlineStr">
        <is>
          <t>ano</t>
        </is>
      </c>
    </row>
    <row r="5" ht="18" customHeight="1">
      <c r="A5" s="4" t="inlineStr">
        <is>
          <t>Validade</t>
        </is>
      </c>
      <c r="B5" s="5" t="inlineStr">
        <is>
          <t>01/10/26 A 31/10/26</t>
        </is>
      </c>
      <c r="C5" s="12" t="inlineStr">
        <is>
          <t>Aparece na capa e no rodapé de todas as páginas.</t>
        </is>
      </c>
      <c r="D5" s="13" t="inlineStr">
        <is>
          <t>validade</t>
        </is>
      </c>
    </row>
    <row r="6">
      <c r="A6" s="11" t="inlineStr">
        <is>
          <t>REGRA 50% (REFLECTA)</t>
        </is>
      </c>
      <c r="B6" s="11" t="n"/>
      <c r="C6" s="11" t="n"/>
      <c r="D6" s="11" t="n"/>
    </row>
    <row r="7" ht="18" customHeight="1">
      <c r="A7" s="4" t="inlineStr">
        <is>
          <t>Acréscimo Reflecta Guard</t>
        </is>
      </c>
      <c r="B7" s="15" t="n">
        <v>42.5</v>
      </c>
      <c r="C7" s="12" t="inlineStr">
        <is>
          <t>Regra 50%: Reflecta Guard = Sem A.R. + este valor.</t>
        </is>
      </c>
      <c r="D7" s="13" t="inlineStr">
        <is>
          <t>acrescimo_guard</t>
        </is>
      </c>
    </row>
    <row r="8" ht="18" customHeight="1">
      <c r="A8" s="4" t="inlineStr">
        <is>
          <t>Acréscimo Reflecta Blue Protect SH</t>
        </is>
      </c>
      <c r="B8" s="15" t="n">
        <v>99.5</v>
      </c>
      <c r="C8" s="12" t="inlineStr">
        <is>
          <t>Regra 50%: Reflecta Blue Protect SH = Sem A.R. + este valor.</t>
        </is>
      </c>
      <c r="D8" s="13" t="inlineStr">
        <is>
          <t>acrescimo_blue</t>
        </is>
      </c>
    </row>
    <row r="9">
      <c r="A9" s="11" t="inlineStr">
        <is>
          <t>SELO DE OFERTA</t>
        </is>
      </c>
      <c r="B9" s="11" t="n"/>
      <c r="C9" s="11" t="n"/>
      <c r="D9" s="11" t="n"/>
    </row>
    <row r="10" ht="18" customHeight="1">
      <c r="A10" s="4" t="inlineStr">
        <is>
          <t>Texto do selo nas colunas em promoção</t>
        </is>
      </c>
      <c r="B10" s="5" t="inlineStr">
        <is>
          <t>REFLECTA −50%</t>
        </is>
      </c>
      <c r="C10" s="12" t="inlineStr">
        <is>
          <t>Adesivo preto sobre as colunas em promoção (coluna Colunas em promoção, aba Famílias). Vazio = sem adesivo.</t>
        </is>
      </c>
      <c r="D10" s="13" t="inlineStr">
        <is>
          <t>adesivo_promo</t>
        </is>
      </c>
    </row>
    <row r="11">
      <c r="A11" s="11" t="inlineStr">
        <is>
          <t>FAIXA 50%</t>
        </is>
      </c>
      <c r="B11" s="11" t="n"/>
      <c r="C11" s="11" t="n"/>
      <c r="D11" s="11" t="n"/>
    </row>
    <row r="12" ht="18" customHeight="1">
      <c r="A12" s="4" t="inlineStr">
        <is>
          <t>Texto antes do número</t>
        </is>
      </c>
      <c r="B12" s="5" t="inlineStr">
        <is>
          <t>Reflecta com</t>
        </is>
      </c>
      <c r="C12" s="12" t="inlineStr">
        <is>
          <t>Texto antes do número.</t>
        </is>
      </c>
      <c r="D12" s="13" t="inlineStr">
        <is>
          <t>faixa50_antes</t>
        </is>
      </c>
    </row>
    <row r="13" ht="18" customHeight="1">
      <c r="A13" s="4" t="inlineStr">
        <is>
          <t>Número grande</t>
        </is>
      </c>
      <c r="B13" s="5" t="inlineStr">
        <is>
          <t>50%</t>
        </is>
      </c>
      <c r="C13" s="12" t="inlineStr">
        <is>
          <t>Número grande em amarelo.</t>
        </is>
      </c>
      <c r="D13" s="13" t="inlineStr">
        <is>
          <t>faixa50_destaque</t>
        </is>
      </c>
    </row>
    <row r="14" ht="18" customHeight="1">
      <c r="A14" s="4" t="inlineStr">
        <is>
          <t>Texto depois do número</t>
        </is>
      </c>
      <c r="B14" s="5" t="inlineStr">
        <is>
          <t>DE DESCONTO</t>
        </is>
      </c>
      <c r="C14" s="12" t="inlineStr">
        <is>
          <t>Texto depois do número.</t>
        </is>
      </c>
      <c r="D14" s="13" t="inlineStr">
        <is>
          <t>faixa50_depois</t>
        </is>
      </c>
    </row>
    <row r="15" ht="30" customHeight="1">
      <c r="A15" s="4" t="inlineStr">
        <is>
          <t>Texto da direita</t>
        </is>
      </c>
      <c r="B15" s="5" t="inlineStr">
        <is>
          <t>Em toda linha KODAK, ESPACE PLUS DIGITAL
e ESSILOR VISÃO SIMPLES SURFAÇADAS</t>
        </is>
      </c>
      <c r="C15" s="12" t="inlineStr">
        <is>
          <t>Texto da direita. Quebra de linha com Alt+Enter.</t>
        </is>
      </c>
      <c r="D15" s="13" t="inlineStr">
        <is>
          <t>faixa50_direita</t>
        </is>
      </c>
    </row>
    <row r="16">
      <c r="A16" s="11" t="inlineStr">
        <is>
          <t>MONTAGEM DE LENTE PRONTA</t>
        </is>
      </c>
      <c r="B16" s="11" t="n"/>
      <c r="C16" s="11" t="n"/>
      <c r="D16" s="11" t="n"/>
    </row>
    <row r="17" ht="30" customHeight="1">
      <c r="A17" s="4" t="inlineStr">
        <is>
          <t>Rótulo do selo no cabeçalho</t>
        </is>
      </c>
      <c r="B17" s="5" t="inlineStr">
        <is>
          <t>MONTAGEM
LENTE PRONTA</t>
        </is>
      </c>
      <c r="C17" s="12" t="inlineStr">
        <is>
          <t>Aparece nas famílias com Selo de montagem = S. Quebra de linha com Alt+Enter.</t>
        </is>
      </c>
      <c r="D17" s="13" t="inlineStr">
        <is>
          <t>montagem_selo</t>
        </is>
      </c>
    </row>
    <row r="18" ht="18" customHeight="1">
      <c r="A18" s="4" t="inlineStr">
        <is>
          <t>Valor</t>
        </is>
      </c>
      <c r="B18" s="5" t="inlineStr">
        <is>
          <t>R$15</t>
        </is>
      </c>
      <c r="C18" s="12" t="inlineStr">
        <is>
          <t>Valor grande em amarelo.</t>
        </is>
      </c>
      <c r="D18" s="13" t="inlineStr">
        <is>
          <t>montagem_destaque</t>
        </is>
      </c>
    </row>
    <row r="19" ht="18" customHeight="1">
      <c r="A19" s="4" t="inlineStr">
        <is>
          <t>Faixa: texto antes do valor</t>
        </is>
      </c>
      <c r="B19" s="5" t="inlineStr">
        <is>
          <t>Montagem de lente pronta por</t>
        </is>
      </c>
      <c r="C19" s="12" t="inlineStr">
        <is>
          <t>Só se usar o bloco FAIXA_MONTAGEM em Páginas. O padrão hoje é o selo no cabeçalho.</t>
        </is>
      </c>
      <c r="D19" s="13" t="inlineStr">
        <is>
          <t>montagem_antes</t>
        </is>
      </c>
    </row>
    <row r="20" ht="30" customHeight="1">
      <c r="A20" s="4" t="inlineStr">
        <is>
          <t>Faixa: texto da direita</t>
        </is>
      </c>
      <c r="B20" s="5" t="inlineStr">
        <is>
          <t>Em toda linha de
LENTES PRONTAS E ACABADAS</t>
        </is>
      </c>
      <c r="C20" s="12" t="inlineStr">
        <is>
          <t>Só se usar o bloco FAIXA_MONTAGEM. Quebra de linha com Alt+Enter.</t>
        </is>
      </c>
      <c r="D20" s="13" t="inlineStr">
        <is>
          <t>montagem_direita</t>
        </is>
      </c>
    </row>
    <row r="21">
      <c r="A21" s="11" t="inlineStr">
        <is>
          <t>PAINEL VIXCLUB</t>
        </is>
      </c>
      <c r="B21" s="11" t="n"/>
      <c r="C21" s="11" t="n"/>
      <c r="D21" s="11" t="n"/>
    </row>
    <row r="22" ht="18" customHeight="1">
      <c r="A22" s="4" t="inlineStr">
        <is>
          <t>Título</t>
        </is>
      </c>
      <c r="B22" s="5" t="inlineStr">
        <is>
          <t>Sua ótica cresce melhor quando tem parceria de verdade.</t>
        </is>
      </c>
      <c r="C22" s="12" t="inlineStr">
        <is>
          <t>Título.</t>
        </is>
      </c>
      <c r="D22" s="13" t="inlineStr">
        <is>
          <t>vixclub_titulo</t>
        </is>
      </c>
    </row>
    <row r="23" ht="30" customHeight="1">
      <c r="A23" s="4" t="inlineStr">
        <is>
          <t>Texto</t>
        </is>
      </c>
      <c r="B23" s="5" t="inlineStr">
        <is>
          <t>Com o VixClub, você acessa benefícios exclusivos, condições especiais e soluções pensadas para fortalecer o seu negócio.
Fale com um consultor e saiba mais.</t>
        </is>
      </c>
      <c r="C23" s="12" t="inlineStr">
        <is>
          <t>Texto.</t>
        </is>
      </c>
      <c r="D23" s="13" t="inlineStr">
        <is>
          <t>vixclub_texto</t>
        </is>
      </c>
    </row>
    <row r="24">
      <c r="A24" s="11" t="inlineStr">
        <is>
          <t>CAPA E RODAPÉ</t>
        </is>
      </c>
      <c r="B24" s="11" t="n"/>
      <c r="C24" s="11" t="n"/>
      <c r="D24" s="11" t="n"/>
    </row>
    <row r="25" ht="18" customHeight="1">
      <c r="A25" s="4" t="inlineStr">
        <is>
          <t>Aviso da capa</t>
        </is>
      </c>
      <c r="B25" s="5" t="inlineStr">
        <is>
          <t>Disponibilidades técnicas sujeitas à consulta em tabela.</t>
        </is>
      </c>
      <c r="C25" s="12" t="inlineStr">
        <is>
          <t>Capa.</t>
        </is>
      </c>
      <c r="D25" s="13" t="inlineStr">
        <is>
          <t>aviso</t>
        </is>
      </c>
    </row>
    <row r="26" ht="18" customHeight="1">
      <c r="A26" s="4" t="inlineStr">
        <is>
          <t>Instagram</t>
        </is>
      </c>
      <c r="B26" s="5" t="inlineStr">
        <is>
          <t>@vixlens</t>
        </is>
      </c>
      <c r="C26" s="12" t="inlineStr">
        <is>
          <t>Rodapé.</t>
        </is>
      </c>
      <c r="D26" s="13" t="inlineStr">
        <is>
          <t>instagram</t>
        </is>
      </c>
    </row>
    <row r="27" ht="18" customHeight="1">
      <c r="A27" s="4" t="inlineStr">
        <is>
          <t>Telefone</t>
        </is>
      </c>
      <c r="B27" s="5" t="inlineStr">
        <is>
          <t>27 3061-2626</t>
        </is>
      </c>
      <c r="C27" s="12" t="inlineStr">
        <is>
          <t>Rodapé.</t>
        </is>
      </c>
      <c r="D27" s="13" t="inlineStr">
        <is>
          <t>telefone</t>
        </is>
      </c>
    </row>
    <row r="28" ht="18" customHeight="1">
      <c r="A28" s="4" t="inlineStr">
        <is>
          <t>Site</t>
        </is>
      </c>
      <c r="B28" s="5" t="inlineStr">
        <is>
          <t>vixlens.com.br</t>
        </is>
      </c>
      <c r="C28" s="12" t="inlineStr">
        <is>
          <t>Rodapé.</t>
        </is>
      </c>
      <c r="D28" s="13" t="inlineStr">
        <is>
          <t>site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D1D1F"/>
    <outlinePr summaryBelow="1" summaryRight="1"/>
    <pageSetUpPr/>
  </sheetPr>
  <dimension ref="A1:P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1" customWidth="1" min="3" max="3"/>
    <col width="30" customWidth="1" min="4" max="4"/>
    <col width="40" customWidth="1" min="5" max="5"/>
    <col width="12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0" customHeight="1">
      <c r="A1" s="16" t="inlineStr">
        <is>
          <t>FAMÍLIA</t>
        </is>
      </c>
      <c r="E1" s="16" t="inlineStr">
        <is>
          <t>COLUNAS DE PREÇO</t>
        </is>
      </c>
      <c r="H1" s="16" t="inlineStr">
        <is>
          <t>LAYOUT</t>
        </is>
      </c>
      <c r="O1" s="16" t="inlineStr">
        <is>
          <t>CONFERÊNCIA</t>
        </is>
      </c>
    </row>
    <row r="2" ht="44" customHeight="1">
      <c r="A2" s="9" t="inlineStr">
        <is>
          <t>Família</t>
        </is>
      </c>
      <c r="B2" s="9" t="inlineStr">
        <is>
          <t>Subtítulo</t>
        </is>
      </c>
      <c r="C2" s="9" t="inlineStr">
        <is>
          <t>Cor (hex)</t>
        </is>
      </c>
      <c r="D2" s="9" t="inlineStr">
        <is>
          <t>Pílulas do cabeçalho</t>
        </is>
      </c>
      <c r="E2" s="9" t="inlineStr">
        <is>
          <t>Colunas de preço</t>
        </is>
      </c>
      <c r="F2" s="9" t="inlineStr">
        <is>
          <t>Colunas em promoção</t>
        </is>
      </c>
      <c r="G2" s="9" t="inlineStr">
        <is>
          <t>Regra 50%</t>
        </is>
      </c>
      <c r="H2" s="9" t="inlineStr">
        <is>
          <t>Faixa ÍNDICE</t>
        </is>
      </c>
      <c r="I2" s="9" t="inlineStr">
        <is>
          <t>Coluna Tratamento</t>
        </is>
      </c>
      <c r="J2" s="9" t="inlineStr">
        <is>
          <t>Título da Disponibilidade</t>
        </is>
      </c>
      <c r="K2" s="9" t="inlineStr">
        <is>
          <t>Largura da Disponibilidade</t>
        </is>
      </c>
      <c r="L2" s="9" t="inlineStr">
        <is>
          <t>Legenda de destaque</t>
        </is>
      </c>
      <c r="M2" s="9" t="inlineStr">
        <is>
          <t>Selo de montagem</t>
        </is>
      </c>
      <c r="N2" s="9" t="inlineStr">
        <is>
          <t>Bloco compacto</t>
        </is>
      </c>
      <c r="O2" s="10" t="inlineStr">
        <is>
          <t>Produtos</t>
        </is>
      </c>
      <c r="P2" s="10" t="inlineStr">
        <is>
          <t>Página</t>
        </is>
      </c>
    </row>
    <row r="3">
      <c r="A3" s="18" t="inlineStr">
        <is>
          <t>OPTFÁCIL GO</t>
        </is>
      </c>
      <c r="B3" s="19" t="inlineStr">
        <is>
          <t>LENTES MULTIFOCAIS DIGITAIS</t>
        </is>
      </c>
      <c r="C3" s="20" t="inlineStr">
        <is>
          <t>#DADFE2</t>
        </is>
      </c>
      <c r="D3" s="19" t="inlineStr">
        <is>
          <t>Cil. até -2.00;Add. 1.00 a 3.50</t>
        </is>
      </c>
      <c r="E3" s="19" t="inlineStr">
        <is>
          <t>Sem A.R.;A.R. Eco;Reflecta Express</t>
        </is>
      </c>
      <c r="F3" s="21" t="n"/>
      <c r="G3" s="21" t="inlineStr">
        <is>
          <t>N</t>
        </is>
      </c>
      <c r="H3" s="21" t="inlineStr">
        <is>
          <t>N</t>
        </is>
      </c>
      <c r="I3" s="21" t="inlineStr">
        <is>
          <t>N</t>
        </is>
      </c>
      <c r="J3" s="18" t="n"/>
      <c r="K3" s="21" t="n">
        <v>70</v>
      </c>
      <c r="L3" s="21" t="inlineStr">
        <is>
          <t>N</t>
        </is>
      </c>
      <c r="M3" s="21" t="inlineStr">
        <is>
          <t>N</t>
        </is>
      </c>
      <c r="N3" s="21" t="inlineStr">
        <is>
          <t>N</t>
        </is>
      </c>
      <c r="O3" s="22">
        <f>IF(A3="","",COUNTIF(Produtos!$A:$A,A3))</f>
        <v/>
      </c>
      <c r="P3" s="22">
        <f>IF(A3="","",IFERROR(INDEX('Páginas'!$A:$A,MATCH(A3,'Páginas'!$B:$B,0)),"FALTA"))</f>
        <v/>
      </c>
    </row>
    <row r="4">
      <c r="A4" s="18" t="inlineStr">
        <is>
          <t>VIX TOTAL</t>
        </is>
      </c>
      <c r="B4" s="19" t="inlineStr">
        <is>
          <t>LENTES MULTIFOCAIS FREEFORM  //  MARCA PRÓPRIA VIXLENS</t>
        </is>
      </c>
      <c r="C4" s="23" t="inlineStr">
        <is>
          <t>#F7B200</t>
        </is>
      </c>
      <c r="D4" s="19" t="inlineStr">
        <is>
          <t>Alt. mín. 18 mm;Cil. até -4.00;Add. 1.00 a 3.50</t>
        </is>
      </c>
      <c r="E4" s="19" t="inlineStr">
        <is>
          <t>Sem A.R.;Reflecta Express;Reflecta Guard</t>
        </is>
      </c>
      <c r="F4" s="21" t="n"/>
      <c r="G4" s="21" t="inlineStr">
        <is>
          <t>N</t>
        </is>
      </c>
      <c r="H4" s="21" t="inlineStr">
        <is>
          <t>S</t>
        </is>
      </c>
      <c r="I4" s="21" t="inlineStr">
        <is>
          <t>N</t>
        </is>
      </c>
      <c r="J4" s="18" t="n"/>
      <c r="K4" s="21" t="n">
        <v>70</v>
      </c>
      <c r="L4" s="21" t="inlineStr">
        <is>
          <t>N</t>
        </is>
      </c>
      <c r="M4" s="21" t="inlineStr">
        <is>
          <t>N</t>
        </is>
      </c>
      <c r="N4" s="21" t="inlineStr">
        <is>
          <t>N</t>
        </is>
      </c>
      <c r="O4" s="22">
        <f>IF(A4="","",COUNTIF(Produtos!$A:$A,A4))</f>
        <v/>
      </c>
      <c r="P4" s="22">
        <f>IF(A4="","",IFERROR(INDEX('Páginas'!$A:$A,MATCH(A4,'Páginas'!$B:$B,0)),"FALTA"))</f>
        <v/>
      </c>
    </row>
    <row r="5">
      <c r="A5" s="18" t="inlineStr">
        <is>
          <t>FREEVIX VISÃO SIMPLES</t>
        </is>
      </c>
      <c r="B5" s="19" t="inlineStr">
        <is>
          <t>LENTES DE VISÃO SIMPLES SURFAÇADAS  //  MARCA PRÓPRIA VIXLENS</t>
        </is>
      </c>
      <c r="C5" s="24" t="inlineStr">
        <is>
          <t>#00497A</t>
        </is>
      </c>
      <c r="D5" s="19" t="inlineStr">
        <is>
          <t>Cil. até -4.00</t>
        </is>
      </c>
      <c r="E5" s="19" t="inlineStr">
        <is>
          <t>Sem A.R.;Reflecta Express;Reflecta Guard</t>
        </is>
      </c>
      <c r="F5" s="21" t="n"/>
      <c r="G5" s="21" t="inlineStr">
        <is>
          <t>N</t>
        </is>
      </c>
      <c r="H5" s="21" t="inlineStr">
        <is>
          <t>S</t>
        </is>
      </c>
      <c r="I5" s="21" t="inlineStr">
        <is>
          <t>N</t>
        </is>
      </c>
      <c r="J5" s="18" t="n"/>
      <c r="K5" s="21" t="n">
        <v>70</v>
      </c>
      <c r="L5" s="21" t="inlineStr">
        <is>
          <t>N</t>
        </is>
      </c>
      <c r="M5" s="21" t="inlineStr">
        <is>
          <t>N</t>
        </is>
      </c>
      <c r="N5" s="21" t="inlineStr">
        <is>
          <t>N</t>
        </is>
      </c>
      <c r="O5" s="22">
        <f>IF(A5="","",COUNTIF(Produtos!$A:$A,A5))</f>
        <v/>
      </c>
      <c r="P5" s="22">
        <f>IF(A5="","",IFERROR(INDEX('Páginas'!$A:$A,MATCH(A5,'Páginas'!$B:$B,0)),"FALTA"))</f>
        <v/>
      </c>
    </row>
    <row r="6">
      <c r="A6" s="18" t="inlineStr">
        <is>
          <t>SOLAR ACABADA</t>
        </is>
      </c>
      <c r="B6" s="19" t="inlineStr">
        <is>
          <t>LENTES DE VISÃO SIMPLES SOLARES ACABADAS</t>
        </is>
      </c>
      <c r="C6" s="20" t="inlineStr">
        <is>
          <t>#DADFE2</t>
        </is>
      </c>
      <c r="D6" s="19" t="n"/>
      <c r="E6" s="19" t="inlineStr">
        <is>
          <t>Par</t>
        </is>
      </c>
      <c r="F6" s="21" t="n"/>
      <c r="G6" s="21" t="inlineStr">
        <is>
          <t>N</t>
        </is>
      </c>
      <c r="H6" s="21" t="inlineStr">
        <is>
          <t>N</t>
        </is>
      </c>
      <c r="I6" s="21" t="inlineStr">
        <is>
          <t>N</t>
        </is>
      </c>
      <c r="J6" s="18" t="inlineStr">
        <is>
          <t>Curva | Diâm.</t>
        </is>
      </c>
      <c r="K6" s="21" t="n">
        <v>92</v>
      </c>
      <c r="L6" s="21" t="inlineStr">
        <is>
          <t>N</t>
        </is>
      </c>
      <c r="M6" s="21" t="inlineStr">
        <is>
          <t>N</t>
        </is>
      </c>
      <c r="N6" s="21" t="inlineStr">
        <is>
          <t>S</t>
        </is>
      </c>
      <c r="O6" s="22">
        <f>IF(A6="","",COUNTIF(Produtos!$A:$A,A6))</f>
        <v/>
      </c>
      <c r="P6" s="22">
        <f>IF(A6="","",IFERROR(INDEX('Páginas'!$A:$A,MATCH(A6,'Páginas'!$B:$B,0)),"FALTA"))</f>
        <v/>
      </c>
    </row>
    <row r="7">
      <c r="A7" s="18" t="inlineStr">
        <is>
          <t>ESPACE PLUS DIGITAL</t>
        </is>
      </c>
      <c r="B7" s="19" t="inlineStr">
        <is>
          <t>LENTES MULTIFOCAIS DIGITAIS  //  ESSILOR</t>
        </is>
      </c>
      <c r="C7" s="25" t="inlineStr">
        <is>
          <t>#EF7F02</t>
        </is>
      </c>
      <c r="D7" s="19" t="inlineStr">
        <is>
          <t>Cil. até -6.00;Add. 1.00 a 3.50</t>
        </is>
      </c>
      <c r="E7" s="19" t="inlineStr">
        <is>
          <t>Sem A.R.;Reflecta Guard;Reflecta Blue Protect SH</t>
        </is>
      </c>
      <c r="F7" s="21" t="inlineStr">
        <is>
          <t>2;3</t>
        </is>
      </c>
      <c r="G7" s="21" t="inlineStr">
        <is>
          <t>S</t>
        </is>
      </c>
      <c r="H7" s="21" t="inlineStr">
        <is>
          <t>N</t>
        </is>
      </c>
      <c r="I7" s="21" t="inlineStr">
        <is>
          <t>N</t>
        </is>
      </c>
      <c r="J7" s="18" t="n"/>
      <c r="K7" s="21" t="n">
        <v>70</v>
      </c>
      <c r="L7" s="21" t="inlineStr">
        <is>
          <t>N</t>
        </is>
      </c>
      <c r="M7" s="21" t="inlineStr">
        <is>
          <t>N</t>
        </is>
      </c>
      <c r="N7" s="21" t="inlineStr">
        <is>
          <t>N</t>
        </is>
      </c>
      <c r="O7" s="22">
        <f>IF(A7="","",COUNTIF(Produtos!$A:$A,A7))</f>
        <v/>
      </c>
      <c r="P7" s="22">
        <f>IF(A7="","",IFERROR(INDEX('Páginas'!$A:$A,MATCH(A7,'Páginas'!$B:$B,0)),"FALTA"))</f>
        <v/>
      </c>
    </row>
    <row r="8">
      <c r="A8" s="18" t="inlineStr">
        <is>
          <t>KODAK PRECISE NEXT</t>
        </is>
      </c>
      <c r="B8" s="19" t="inlineStr">
        <is>
          <t>LENTES MULTIFOCAIS DIGITAIS  //  LENTES KODAK</t>
        </is>
      </c>
      <c r="C8" s="23" t="inlineStr">
        <is>
          <t>#F7B200</t>
        </is>
      </c>
      <c r="D8" s="19" t="inlineStr">
        <is>
          <t>Cil. até -6.00;Add. 1.00 a 3.50</t>
        </is>
      </c>
      <c r="E8" s="19" t="inlineStr">
        <is>
          <t>Sem A.R.;Reflecta Guard;Reflecta Blue Protect SH</t>
        </is>
      </c>
      <c r="F8" s="21" t="inlineStr">
        <is>
          <t>2;3</t>
        </is>
      </c>
      <c r="G8" s="21" t="inlineStr">
        <is>
          <t>S</t>
        </is>
      </c>
      <c r="H8" s="21" t="inlineStr">
        <is>
          <t>N</t>
        </is>
      </c>
      <c r="I8" s="21" t="inlineStr">
        <is>
          <t>N</t>
        </is>
      </c>
      <c r="J8" s="18" t="n"/>
      <c r="K8" s="21" t="n">
        <v>70</v>
      </c>
      <c r="L8" s="21" t="inlineStr">
        <is>
          <t>N</t>
        </is>
      </c>
      <c r="M8" s="21" t="inlineStr">
        <is>
          <t>N</t>
        </is>
      </c>
      <c r="N8" s="21" t="inlineStr">
        <is>
          <t>N</t>
        </is>
      </c>
      <c r="O8" s="22">
        <f>IF(A8="","",COUNTIF(Produtos!$A:$A,A8))</f>
        <v/>
      </c>
      <c r="P8" s="22">
        <f>IF(A8="","",IFERROR(INDEX('Páginas'!$A:$A,MATCH(A8,'Páginas'!$B:$B,0)),"FALTA"))</f>
        <v/>
      </c>
    </row>
    <row r="9">
      <c r="A9" s="18" t="inlineStr">
        <is>
          <t>KODAK NETWORK UHD</t>
        </is>
      </c>
      <c r="B9" s="19" t="inlineStr">
        <is>
          <t>LENTES MULTIFOCAIS DIGITAIS  //  LENTES KODAK</t>
        </is>
      </c>
      <c r="C9" s="23" t="inlineStr">
        <is>
          <t>#F7B200</t>
        </is>
      </c>
      <c r="D9" s="19" t="inlineStr">
        <is>
          <t>Cil. até -6.00;Add. 1.00 a 3.50</t>
        </is>
      </c>
      <c r="E9" s="19" t="inlineStr">
        <is>
          <t>Sem A.R.;Reflecta Guard;Reflecta Blue Protect SH</t>
        </is>
      </c>
      <c r="F9" s="21" t="inlineStr">
        <is>
          <t>2;3</t>
        </is>
      </c>
      <c r="G9" s="21" t="inlineStr">
        <is>
          <t>S</t>
        </is>
      </c>
      <c r="H9" s="21" t="inlineStr">
        <is>
          <t>N</t>
        </is>
      </c>
      <c r="I9" s="21" t="inlineStr">
        <is>
          <t>N</t>
        </is>
      </c>
      <c r="J9" s="18" t="n"/>
      <c r="K9" s="21" t="n">
        <v>70</v>
      </c>
      <c r="L9" s="21" t="inlineStr">
        <is>
          <t>N</t>
        </is>
      </c>
      <c r="M9" s="21" t="inlineStr">
        <is>
          <t>N</t>
        </is>
      </c>
      <c r="N9" s="21" t="inlineStr">
        <is>
          <t>N</t>
        </is>
      </c>
      <c r="O9" s="22">
        <f>IF(A9="","",COUNTIF(Produtos!$A:$A,A9))</f>
        <v/>
      </c>
      <c r="P9" s="22">
        <f>IF(A9="","",IFERROR(INDEX('Páginas'!$A:$A,MATCH(A9,'Páginas'!$B:$B,0)),"FALTA"))</f>
        <v/>
      </c>
    </row>
    <row r="10">
      <c r="A10" s="18" t="inlineStr">
        <is>
          <t>KODAK SOFTWEAR</t>
        </is>
      </c>
      <c r="B10" s="19" t="inlineStr">
        <is>
          <t>LENTES OCUPACIONAIS DIGITAIS  //  LENTES KODAK</t>
        </is>
      </c>
      <c r="C10" s="23" t="inlineStr">
        <is>
          <t>#F7B200</t>
        </is>
      </c>
      <c r="D10" s="19" t="inlineStr">
        <is>
          <t>Cil. até -6.00;Add. 1.00 a 3.50</t>
        </is>
      </c>
      <c r="E10" s="19" t="inlineStr">
        <is>
          <t>Sem A.R.;Reflecta Guard;Reflecta Blue Protect SH</t>
        </is>
      </c>
      <c r="F10" s="21" t="inlineStr">
        <is>
          <t>2;3</t>
        </is>
      </c>
      <c r="G10" s="21" t="inlineStr">
        <is>
          <t>S</t>
        </is>
      </c>
      <c r="H10" s="21" t="inlineStr">
        <is>
          <t>N</t>
        </is>
      </c>
      <c r="I10" s="21" t="inlineStr">
        <is>
          <t>N</t>
        </is>
      </c>
      <c r="J10" s="18" t="n"/>
      <c r="K10" s="21" t="n">
        <v>70</v>
      </c>
      <c r="L10" s="21" t="inlineStr">
        <is>
          <t>N</t>
        </is>
      </c>
      <c r="M10" s="21" t="inlineStr">
        <is>
          <t>N</t>
        </is>
      </c>
      <c r="N10" s="21" t="inlineStr">
        <is>
          <t>N</t>
        </is>
      </c>
      <c r="O10" s="22">
        <f>IF(A10="","",COUNTIF(Produtos!$A:$A,A10))</f>
        <v/>
      </c>
      <c r="P10" s="22">
        <f>IF(A10="","",IFERROR(INDEX('Páginas'!$A:$A,MATCH(A10,'Páginas'!$B:$B,0)),"FALTA"))</f>
        <v/>
      </c>
    </row>
    <row r="11">
      <c r="A11" s="18" t="inlineStr">
        <is>
          <t>KODAK UNIQUE UHD</t>
        </is>
      </c>
      <c r="B11" s="19" t="inlineStr">
        <is>
          <t>LENTES MULTIFOCAIS DIGITAIS  //  LENTES KODAK</t>
        </is>
      </c>
      <c r="C11" s="23" t="inlineStr">
        <is>
          <t>#F7B200</t>
        </is>
      </c>
      <c r="D11" s="19" t="inlineStr">
        <is>
          <t>Cil. até -6.00;Add. 1.00 a 3.50</t>
        </is>
      </c>
      <c r="E11" s="19" t="inlineStr">
        <is>
          <t>Sem A.R.;Reflecta Guard;Reflecta Blue Protect SH</t>
        </is>
      </c>
      <c r="F11" s="21" t="inlineStr">
        <is>
          <t>2;3</t>
        </is>
      </c>
      <c r="G11" s="21" t="inlineStr">
        <is>
          <t>S</t>
        </is>
      </c>
      <c r="H11" s="21" t="inlineStr">
        <is>
          <t>N</t>
        </is>
      </c>
      <c r="I11" s="21" t="inlineStr">
        <is>
          <t>N</t>
        </is>
      </c>
      <c r="J11" s="18" t="n"/>
      <c r="K11" s="21" t="n">
        <v>70</v>
      </c>
      <c r="L11" s="21" t="inlineStr">
        <is>
          <t>N</t>
        </is>
      </c>
      <c r="M11" s="21" t="inlineStr">
        <is>
          <t>N</t>
        </is>
      </c>
      <c r="N11" s="21" t="inlineStr">
        <is>
          <t>N</t>
        </is>
      </c>
      <c r="O11" s="22">
        <f>IF(A11="","",COUNTIF(Produtos!$A:$A,A11))</f>
        <v/>
      </c>
      <c r="P11" s="22">
        <f>IF(A11="","",IFERROR(INDEX('Páginas'!$A:$A,MATCH(A11,'Páginas'!$B:$B,0)),"FALTA"))</f>
        <v/>
      </c>
    </row>
    <row r="12">
      <c r="A12" s="18" t="inlineStr">
        <is>
          <t>KODAK UNIQUE INFINITE</t>
        </is>
      </c>
      <c r="B12" s="19" t="inlineStr">
        <is>
          <t>LENTES MULTIFOCAIS DIGITAIS  //  LENTES KODAK</t>
        </is>
      </c>
      <c r="C12" s="23" t="inlineStr">
        <is>
          <t>#F7B200</t>
        </is>
      </c>
      <c r="D12" s="19" t="inlineStr">
        <is>
          <t>Cil. até -6.00;Add. 0.75 a 3.50</t>
        </is>
      </c>
      <c r="E12" s="19" t="inlineStr">
        <is>
          <t>Sem A.R.;Reflecta Guard;Reflecta Blue Protect SH</t>
        </is>
      </c>
      <c r="F12" s="21" t="inlineStr">
        <is>
          <t>2;3</t>
        </is>
      </c>
      <c r="G12" s="21" t="inlineStr">
        <is>
          <t>S</t>
        </is>
      </c>
      <c r="H12" s="21" t="inlineStr">
        <is>
          <t>N</t>
        </is>
      </c>
      <c r="I12" s="21" t="inlineStr">
        <is>
          <t>N</t>
        </is>
      </c>
      <c r="J12" s="18" t="n"/>
      <c r="K12" s="21" t="n">
        <v>70</v>
      </c>
      <c r="L12" s="21" t="inlineStr">
        <is>
          <t>N</t>
        </is>
      </c>
      <c r="M12" s="21" t="inlineStr">
        <is>
          <t>N</t>
        </is>
      </c>
      <c r="N12" s="21" t="inlineStr">
        <is>
          <t>N</t>
        </is>
      </c>
      <c r="O12" s="22">
        <f>IF(A12="","",COUNTIF(Produtos!$A:$A,A12))</f>
        <v/>
      </c>
      <c r="P12" s="22">
        <f>IF(A12="","",IFERROR(INDEX('Páginas'!$A:$A,MATCH(A12,'Páginas'!$B:$B,0)),"FALTA"))</f>
        <v/>
      </c>
    </row>
    <row r="13">
      <c r="A13" s="18" t="inlineStr">
        <is>
          <t>KODAK SINGLE</t>
        </is>
      </c>
      <c r="B13" s="19" t="inlineStr">
        <is>
          <t>LENTES DE VISÃO SIMPLES DIGITAIS  //  LENTES KODAK</t>
        </is>
      </c>
      <c r="C13" s="23" t="inlineStr">
        <is>
          <t>#F7B200</t>
        </is>
      </c>
      <c r="D13" s="19" t="inlineStr">
        <is>
          <t>Cil. até -6.00</t>
        </is>
      </c>
      <c r="E13" s="19" t="inlineStr">
        <is>
          <t>Sem A.R.;Reflecta Guard;Reflecta Blue Protect SH</t>
        </is>
      </c>
      <c r="F13" s="21" t="inlineStr">
        <is>
          <t>2;3</t>
        </is>
      </c>
      <c r="G13" s="21" t="inlineStr">
        <is>
          <t>S</t>
        </is>
      </c>
      <c r="H13" s="21" t="inlineStr">
        <is>
          <t>N</t>
        </is>
      </c>
      <c r="I13" s="21" t="inlineStr">
        <is>
          <t>N</t>
        </is>
      </c>
      <c r="J13" s="18" t="n"/>
      <c r="K13" s="21" t="n">
        <v>70</v>
      </c>
      <c r="L13" s="21" t="inlineStr">
        <is>
          <t>N</t>
        </is>
      </c>
      <c r="M13" s="21" t="inlineStr">
        <is>
          <t>N</t>
        </is>
      </c>
      <c r="N13" s="21" t="inlineStr">
        <is>
          <t>N</t>
        </is>
      </c>
      <c r="O13" s="22">
        <f>IF(A13="","",COUNTIF(Produtos!$A:$A,A13))</f>
        <v/>
      </c>
      <c r="P13" s="22">
        <f>IF(A13="","",IFERROR(INDEX('Páginas'!$A:$A,MATCH(A13,'Páginas'!$B:$B,0)),"FALTA"))</f>
        <v/>
      </c>
    </row>
    <row r="14">
      <c r="A14" s="18" t="inlineStr">
        <is>
          <t>ESSILOR SURFAÇADAS</t>
        </is>
      </c>
      <c r="B14" s="19" t="inlineStr">
        <is>
          <t>LENTES DE VISÃO SIMPLES SURFAÇADAS  //  ESSILOR</t>
        </is>
      </c>
      <c r="C14" s="26" t="inlineStr">
        <is>
          <t>#3F4A3C</t>
        </is>
      </c>
      <c r="D14" s="19" t="inlineStr">
        <is>
          <t>Cil. até -6.00</t>
        </is>
      </c>
      <c r="E14" s="19" t="inlineStr">
        <is>
          <t>Sem A.R.;Reflecta Guard;Reflecta Blue Protect SH</t>
        </is>
      </c>
      <c r="F14" s="21" t="inlineStr">
        <is>
          <t>2;3</t>
        </is>
      </c>
      <c r="G14" s="21" t="inlineStr">
        <is>
          <t>S</t>
        </is>
      </c>
      <c r="H14" s="21" t="inlineStr">
        <is>
          <t>N</t>
        </is>
      </c>
      <c r="I14" s="21" t="inlineStr">
        <is>
          <t>N</t>
        </is>
      </c>
      <c r="J14" s="18" t="n"/>
      <c r="K14" s="21" t="n">
        <v>70</v>
      </c>
      <c r="L14" s="21" t="inlineStr">
        <is>
          <t>N</t>
        </is>
      </c>
      <c r="M14" s="21" t="inlineStr">
        <is>
          <t>N</t>
        </is>
      </c>
      <c r="N14" s="21" t="inlineStr">
        <is>
          <t>N</t>
        </is>
      </c>
      <c r="O14" s="22">
        <f>IF(A14="","",COUNTIF(Produtos!$A:$A,A14))</f>
        <v/>
      </c>
      <c r="P14" s="22">
        <f>IF(A14="","",IFERROR(INDEX('Páginas'!$A:$A,MATCH(A14,'Páginas'!$B:$B,0)),"FALTA"))</f>
        <v/>
      </c>
    </row>
    <row r="15">
      <c r="A15" s="18" t="inlineStr">
        <is>
          <t>OPTVIEW</t>
        </is>
      </c>
      <c r="B15" s="19" t="inlineStr">
        <is>
          <t>LENTES DE VISÃO SIMPLES ACABADAS</t>
        </is>
      </c>
      <c r="C15" s="27" t="inlineStr">
        <is>
          <t>#D0DDE4</t>
        </is>
      </c>
      <c r="D15" s="19" t="n"/>
      <c r="E15" s="19" t="inlineStr">
        <is>
          <t>Par</t>
        </is>
      </c>
      <c r="F15" s="21" t="n"/>
      <c r="G15" s="21" t="inlineStr">
        <is>
          <t>N</t>
        </is>
      </c>
      <c r="H15" s="21" t="inlineStr">
        <is>
          <t>N</t>
        </is>
      </c>
      <c r="I15" s="21" t="inlineStr">
        <is>
          <t>S</t>
        </is>
      </c>
      <c r="J15" s="18" t="n"/>
      <c r="K15" s="21" t="n">
        <v>92</v>
      </c>
      <c r="L15" s="21" t="inlineStr">
        <is>
          <t>S</t>
        </is>
      </c>
      <c r="M15" s="21" t="inlineStr">
        <is>
          <t>S</t>
        </is>
      </c>
      <c r="N15" s="21" t="inlineStr">
        <is>
          <t>N</t>
        </is>
      </c>
      <c r="O15" s="22">
        <f>IF(A15="","",COUNTIF(Produtos!$A:$A,A15))</f>
        <v/>
      </c>
      <c r="P15" s="22">
        <f>IF(A15="","",IFERROR(INDEX('Páginas'!$A:$A,MATCH(A15,'Páginas'!$B:$B,0)),"FALTA"))</f>
        <v/>
      </c>
    </row>
    <row r="16">
      <c r="A16" s="18" t="inlineStr">
        <is>
          <t>MULTIFOCAL ACABADA</t>
        </is>
      </c>
      <c r="B16" s="19" t="inlineStr">
        <is>
          <t>LENTES MULTIFOCAIS ACABADAS</t>
        </is>
      </c>
      <c r="C16" s="27" t="inlineStr">
        <is>
          <t>#D0DDE4</t>
        </is>
      </c>
      <c r="D16" s="19" t="n"/>
      <c r="E16" s="19" t="inlineStr">
        <is>
          <t>Par</t>
        </is>
      </c>
      <c r="F16" s="21" t="n"/>
      <c r="G16" s="21" t="inlineStr">
        <is>
          <t>N</t>
        </is>
      </c>
      <c r="H16" s="21" t="inlineStr">
        <is>
          <t>N</t>
        </is>
      </c>
      <c r="I16" s="21" t="inlineStr">
        <is>
          <t>S</t>
        </is>
      </c>
      <c r="J16" s="18" t="n"/>
      <c r="K16" s="21" t="n">
        <v>92</v>
      </c>
      <c r="L16" s="21" t="inlineStr">
        <is>
          <t>S</t>
        </is>
      </c>
      <c r="M16" s="21" t="inlineStr">
        <is>
          <t>N</t>
        </is>
      </c>
      <c r="N16" s="21" t="inlineStr">
        <is>
          <t>N</t>
        </is>
      </c>
      <c r="O16" s="22">
        <f>IF(A16="","",COUNTIF(Produtos!$A:$A,A16))</f>
        <v/>
      </c>
      <c r="P16" s="22">
        <f>IF(A16="","",IFERROR(INDEX('Páginas'!$A:$A,MATCH(A16,'Páginas'!$B:$B,0)),"FALTA"))</f>
        <v/>
      </c>
    </row>
    <row r="17">
      <c r="A17" s="18" t="inlineStr">
        <is>
          <t>LENTE PRONTA KODAK</t>
        </is>
      </c>
      <c r="B17" s="19" t="inlineStr">
        <is>
          <t>LENTES DE VISÃO SIMPLES PRONTAS  //  LENTES KODAK</t>
        </is>
      </c>
      <c r="C17" s="23" t="inlineStr">
        <is>
          <t>#F7B200</t>
        </is>
      </c>
      <c r="D17" s="19" t="n"/>
      <c r="E17" s="19" t="inlineStr">
        <is>
          <t>Par</t>
        </is>
      </c>
      <c r="F17" s="21" t="n"/>
      <c r="G17" s="21" t="inlineStr">
        <is>
          <t>N</t>
        </is>
      </c>
      <c r="H17" s="21" t="inlineStr">
        <is>
          <t>N</t>
        </is>
      </c>
      <c r="I17" s="21" t="inlineStr">
        <is>
          <t>N</t>
        </is>
      </c>
      <c r="J17" s="18" t="n"/>
      <c r="K17" s="21" t="n">
        <v>95</v>
      </c>
      <c r="L17" s="21" t="inlineStr">
        <is>
          <t>S</t>
        </is>
      </c>
      <c r="M17" s="21" t="inlineStr">
        <is>
          <t>S</t>
        </is>
      </c>
      <c r="N17" s="21" t="inlineStr">
        <is>
          <t>N</t>
        </is>
      </c>
      <c r="O17" s="22">
        <f>IF(A17="","",COUNTIF(Produtos!$A:$A,A17))</f>
        <v/>
      </c>
      <c r="P17" s="22">
        <f>IF(A17="","",IFERROR(INDEX('Páginas'!$A:$A,MATCH(A17,'Páginas'!$B:$B,0)),"FALTA"))</f>
        <v/>
      </c>
    </row>
    <row r="18">
      <c r="A18" s="18" t="inlineStr">
        <is>
          <t>LENTE PRONTA ESSILOR</t>
        </is>
      </c>
      <c r="B18" s="19" t="inlineStr">
        <is>
          <t>LENTES DE VISÃO SIMPLES PRONTAS  //  ESSILOR</t>
        </is>
      </c>
      <c r="C18" s="28" t="inlineStr">
        <is>
          <t>#414B55</t>
        </is>
      </c>
      <c r="D18" s="19" t="n"/>
      <c r="E18" s="19" t="inlineStr">
        <is>
          <t>Par</t>
        </is>
      </c>
      <c r="F18" s="21" t="n"/>
      <c r="G18" s="21" t="inlineStr">
        <is>
          <t>N</t>
        </is>
      </c>
      <c r="H18" s="21" t="inlineStr">
        <is>
          <t>N</t>
        </is>
      </c>
      <c r="I18" s="21" t="inlineStr">
        <is>
          <t>N</t>
        </is>
      </c>
      <c r="J18" s="18" t="n"/>
      <c r="K18" s="21" t="n">
        <v>95</v>
      </c>
      <c r="L18" s="21" t="inlineStr">
        <is>
          <t>N</t>
        </is>
      </c>
      <c r="M18" s="21" t="inlineStr">
        <is>
          <t>N</t>
        </is>
      </c>
      <c r="N18" s="21" t="inlineStr">
        <is>
          <t>N</t>
        </is>
      </c>
      <c r="O18" s="22">
        <f>IF(A18="","",COUNTIF(Produtos!$A:$A,A18))</f>
        <v/>
      </c>
      <c r="P18" s="22">
        <f>IF(A18="","",IFERROR(INDEX('Páginas'!$A:$A,MATCH(A18,'Páginas'!$B:$B,0)),"FALTA"))</f>
        <v/>
      </c>
    </row>
    <row r="19">
      <c r="F19" s="29" t="n"/>
      <c r="G19" s="29" t="n"/>
      <c r="H19" s="29" t="n"/>
      <c r="I19" s="29" t="n"/>
      <c r="K19" s="29" t="n"/>
      <c r="L19" s="29" t="n"/>
      <c r="M19" s="29" t="n"/>
      <c r="N19" s="29" t="n"/>
      <c r="O19" s="30">
        <f>IF(A19="","",COUNTIF(Produtos!$A:$A,A19))</f>
        <v/>
      </c>
      <c r="P19" s="30">
        <f>IF(A19="","",IFERROR(INDEX('Páginas'!$A:$A,MATCH(A19,'Páginas'!$B:$B,0)),"FALTA"))</f>
        <v/>
      </c>
    </row>
    <row r="20">
      <c r="F20" s="29" t="n"/>
      <c r="G20" s="29" t="n"/>
      <c r="H20" s="29" t="n"/>
      <c r="I20" s="29" t="n"/>
      <c r="K20" s="29" t="n"/>
      <c r="L20" s="29" t="n"/>
      <c r="M20" s="29" t="n"/>
      <c r="N20" s="29" t="n"/>
      <c r="O20" s="30">
        <f>IF(A20="","",COUNTIF(Produtos!$A:$A,A20))</f>
        <v/>
      </c>
      <c r="P20" s="30">
        <f>IF(A20="","",IFERROR(INDEX('Páginas'!$A:$A,MATCH(A20,'Páginas'!$B:$B,0)),"FALTA"))</f>
        <v/>
      </c>
    </row>
    <row r="21">
      <c r="F21" s="29" t="n"/>
      <c r="G21" s="29" t="n"/>
      <c r="H21" s="29" t="n"/>
      <c r="I21" s="29" t="n"/>
      <c r="K21" s="29" t="n"/>
      <c r="L21" s="29" t="n"/>
      <c r="M21" s="29" t="n"/>
      <c r="N21" s="29" t="n"/>
      <c r="O21" s="30">
        <f>IF(A21="","",COUNTIF(Produtos!$A:$A,A21))</f>
        <v/>
      </c>
      <c r="P21" s="30">
        <f>IF(A21="","",IFERROR(INDEX('Páginas'!$A:$A,MATCH(A21,'Páginas'!$B:$B,0)),"FALTA"))</f>
        <v/>
      </c>
    </row>
    <row r="22">
      <c r="F22" s="29" t="n"/>
      <c r="G22" s="29" t="n"/>
      <c r="H22" s="29" t="n"/>
      <c r="I22" s="29" t="n"/>
      <c r="K22" s="29" t="n"/>
      <c r="L22" s="29" t="n"/>
      <c r="M22" s="29" t="n"/>
      <c r="N22" s="29" t="n"/>
      <c r="O22" s="30">
        <f>IF(A22="","",COUNTIF(Produtos!$A:$A,A22))</f>
        <v/>
      </c>
      <c r="P22" s="30">
        <f>IF(A22="","",IFERROR(INDEX('Páginas'!$A:$A,MATCH(A22,'Páginas'!$B:$B,0)),"FALTA"))</f>
        <v/>
      </c>
    </row>
    <row r="23">
      <c r="F23" s="29" t="n"/>
      <c r="G23" s="29" t="n"/>
      <c r="H23" s="29" t="n"/>
      <c r="I23" s="29" t="n"/>
      <c r="K23" s="29" t="n"/>
      <c r="L23" s="29" t="n"/>
      <c r="M23" s="29" t="n"/>
      <c r="N23" s="29" t="n"/>
      <c r="O23" s="30">
        <f>IF(A23="","",COUNTIF(Produtos!$A:$A,A23))</f>
        <v/>
      </c>
      <c r="P23" s="30">
        <f>IF(A23="","",IFERROR(INDEX('Páginas'!$A:$A,MATCH(A23,'Páginas'!$B:$B,0)),"FALTA"))</f>
        <v/>
      </c>
    </row>
    <row r="24">
      <c r="F24" s="29" t="n"/>
      <c r="G24" s="29" t="n"/>
      <c r="H24" s="29" t="n"/>
      <c r="I24" s="29" t="n"/>
      <c r="K24" s="29" t="n"/>
      <c r="L24" s="29" t="n"/>
      <c r="M24" s="29" t="n"/>
      <c r="N24" s="29" t="n"/>
      <c r="O24" s="30">
        <f>IF(A24="","",COUNTIF(Produtos!$A:$A,A24))</f>
        <v/>
      </c>
      <c r="P24" s="30">
        <f>IF(A24="","",IFERROR(INDEX('Páginas'!$A:$A,MATCH(A24,'Páginas'!$B:$B,0)),"FALTA"))</f>
        <v/>
      </c>
    </row>
    <row r="25">
      <c r="F25" s="29" t="n"/>
      <c r="G25" s="29" t="n"/>
      <c r="H25" s="29" t="n"/>
      <c r="I25" s="29" t="n"/>
      <c r="K25" s="29" t="n"/>
      <c r="L25" s="29" t="n"/>
      <c r="M25" s="29" t="n"/>
      <c r="N25" s="29" t="n"/>
      <c r="O25" s="30">
        <f>IF(A25="","",COUNTIF(Produtos!$A:$A,A25))</f>
        <v/>
      </c>
      <c r="P25" s="30">
        <f>IF(A25="","",IFERROR(INDEX('Páginas'!$A:$A,MATCH(A25,'Páginas'!$B:$B,0)),"FALTA"))</f>
        <v/>
      </c>
    </row>
    <row r="26">
      <c r="F26" s="29" t="n"/>
      <c r="G26" s="29" t="n"/>
      <c r="H26" s="29" t="n"/>
      <c r="I26" s="29" t="n"/>
      <c r="K26" s="29" t="n"/>
      <c r="L26" s="29" t="n"/>
      <c r="M26" s="29" t="n"/>
      <c r="N26" s="29" t="n"/>
      <c r="O26" s="30">
        <f>IF(A26="","",COUNTIF(Produtos!$A:$A,A26))</f>
        <v/>
      </c>
      <c r="P26" s="30">
        <f>IF(A26="","",IFERROR(INDEX('Páginas'!$A:$A,MATCH(A26,'Páginas'!$B:$B,0)),"FALTA"))</f>
        <v/>
      </c>
    </row>
    <row r="27">
      <c r="F27" s="29" t="n"/>
      <c r="G27" s="29" t="n"/>
      <c r="H27" s="29" t="n"/>
      <c r="I27" s="29" t="n"/>
      <c r="K27" s="29" t="n"/>
      <c r="L27" s="29" t="n"/>
      <c r="M27" s="29" t="n"/>
      <c r="N27" s="29" t="n"/>
      <c r="O27" s="30">
        <f>IF(A27="","",COUNTIF(Produtos!$A:$A,A27))</f>
        <v/>
      </c>
      <c r="P27" s="30">
        <f>IF(A27="","",IFERROR(INDEX('Páginas'!$A:$A,MATCH(A27,'Páginas'!$B:$B,0)),"FALTA"))</f>
        <v/>
      </c>
    </row>
    <row r="28">
      <c r="F28" s="29" t="n"/>
      <c r="G28" s="29" t="n"/>
      <c r="H28" s="29" t="n"/>
      <c r="I28" s="29" t="n"/>
      <c r="K28" s="29" t="n"/>
      <c r="L28" s="29" t="n"/>
      <c r="M28" s="29" t="n"/>
      <c r="N28" s="29" t="n"/>
      <c r="O28" s="30">
        <f>IF(A28="","",COUNTIF(Produtos!$A:$A,A28))</f>
        <v/>
      </c>
      <c r="P28" s="30">
        <f>IF(A28="","",IFERROR(INDEX('Páginas'!$A:$A,MATCH(A28,'Páginas'!$B:$B,0)),"FALTA"))</f>
        <v/>
      </c>
    </row>
    <row r="29">
      <c r="F29" s="29" t="n"/>
      <c r="G29" s="29" t="n"/>
      <c r="H29" s="29" t="n"/>
      <c r="I29" s="29" t="n"/>
      <c r="K29" s="29" t="n"/>
      <c r="L29" s="29" t="n"/>
      <c r="M29" s="29" t="n"/>
      <c r="N29" s="29" t="n"/>
      <c r="O29" s="30">
        <f>IF(A29="","",COUNTIF(Produtos!$A:$A,A29))</f>
        <v/>
      </c>
      <c r="P29" s="30">
        <f>IF(A29="","",IFERROR(INDEX('Páginas'!$A:$A,MATCH(A29,'Páginas'!$B:$B,0)),"FALTA"))</f>
        <v/>
      </c>
    </row>
    <row r="30">
      <c r="F30" s="29" t="n"/>
      <c r="G30" s="29" t="n"/>
      <c r="H30" s="29" t="n"/>
      <c r="I30" s="29" t="n"/>
      <c r="K30" s="29" t="n"/>
      <c r="L30" s="29" t="n"/>
      <c r="M30" s="29" t="n"/>
      <c r="N30" s="29" t="n"/>
      <c r="O30" s="30">
        <f>IF(A30="","",COUNTIF(Produtos!$A:$A,A30))</f>
        <v/>
      </c>
      <c r="P30" s="30">
        <f>IF(A30="","",IFERROR(INDEX('Páginas'!$A:$A,MATCH(A30,'Páginas'!$B:$B,0)),"FALTA"))</f>
        <v/>
      </c>
    </row>
    <row r="31">
      <c r="F31" s="29" t="n"/>
      <c r="G31" s="29" t="n"/>
      <c r="H31" s="29" t="n"/>
      <c r="I31" s="29" t="n"/>
      <c r="K31" s="29" t="n"/>
      <c r="L31" s="29" t="n"/>
      <c r="M31" s="29" t="n"/>
      <c r="N31" s="29" t="n"/>
      <c r="O31" s="30">
        <f>IF(A31="","",COUNTIF(Produtos!$A:$A,A31))</f>
        <v/>
      </c>
      <c r="P31" s="30">
        <f>IF(A31="","",IFERROR(INDEX('Páginas'!$A:$A,MATCH(A31,'Páginas'!$B:$B,0)),"FALTA"))</f>
        <v/>
      </c>
    </row>
    <row r="32">
      <c r="F32" s="29" t="n"/>
      <c r="G32" s="29" t="n"/>
      <c r="H32" s="29" t="n"/>
      <c r="I32" s="29" t="n"/>
      <c r="K32" s="29" t="n"/>
      <c r="L32" s="29" t="n"/>
      <c r="M32" s="29" t="n"/>
      <c r="N32" s="29" t="n"/>
      <c r="O32" s="30">
        <f>IF(A32="","",COUNTIF(Produtos!$A:$A,A32))</f>
        <v/>
      </c>
      <c r="P32" s="30">
        <f>IF(A32="","",IFERROR(INDEX('Páginas'!$A:$A,MATCH(A32,'Páginas'!$B:$B,0)),"FALTA"))</f>
        <v/>
      </c>
    </row>
    <row r="33">
      <c r="F33" s="29" t="n"/>
      <c r="G33" s="29" t="n"/>
      <c r="H33" s="29" t="n"/>
      <c r="I33" s="29" t="n"/>
      <c r="K33" s="29" t="n"/>
      <c r="L33" s="29" t="n"/>
      <c r="M33" s="29" t="n"/>
      <c r="N33" s="29" t="n"/>
      <c r="O33" s="30">
        <f>IF(A33="","",COUNTIF(Produtos!$A:$A,A33))</f>
        <v/>
      </c>
      <c r="P33" s="30">
        <f>IF(A33="","",IFERROR(INDEX('Páginas'!$A:$A,MATCH(A33,'Páginas'!$B:$B,0)),"FALTA"))</f>
        <v/>
      </c>
    </row>
    <row r="34">
      <c r="F34" s="29" t="n"/>
      <c r="G34" s="29" t="n"/>
      <c r="H34" s="29" t="n"/>
      <c r="I34" s="29" t="n"/>
      <c r="K34" s="29" t="n"/>
      <c r="L34" s="29" t="n"/>
      <c r="M34" s="29" t="n"/>
      <c r="N34" s="29" t="n"/>
      <c r="O34" s="30">
        <f>IF(A34="","",COUNTIF(Produtos!$A:$A,A34))</f>
        <v/>
      </c>
      <c r="P34" s="30">
        <f>IF(A34="","",IFERROR(INDEX('Páginas'!$A:$A,MATCH(A34,'Páginas'!$B:$B,0)),"FALTA"))</f>
        <v/>
      </c>
    </row>
    <row r="35">
      <c r="F35" s="29" t="n"/>
      <c r="G35" s="29" t="n"/>
      <c r="H35" s="29" t="n"/>
      <c r="I35" s="29" t="n"/>
      <c r="K35" s="29" t="n"/>
      <c r="L35" s="29" t="n"/>
      <c r="M35" s="29" t="n"/>
      <c r="N35" s="29" t="n"/>
      <c r="O35" s="30">
        <f>IF(A35="","",COUNTIF(Produtos!$A:$A,A35))</f>
        <v/>
      </c>
      <c r="P35" s="30">
        <f>IF(A35="","",IFERROR(INDEX('Páginas'!$A:$A,MATCH(A35,'Páginas'!$B:$B,0)),"FALTA"))</f>
        <v/>
      </c>
    </row>
    <row r="36">
      <c r="F36" s="29" t="n"/>
      <c r="G36" s="29" t="n"/>
      <c r="H36" s="29" t="n"/>
      <c r="I36" s="29" t="n"/>
      <c r="K36" s="29" t="n"/>
      <c r="L36" s="29" t="n"/>
      <c r="M36" s="29" t="n"/>
      <c r="N36" s="29" t="n"/>
      <c r="O36" s="30">
        <f>IF(A36="","",COUNTIF(Produtos!$A:$A,A36))</f>
        <v/>
      </c>
      <c r="P36" s="30">
        <f>IF(A36="","",IFERROR(INDEX('Páginas'!$A:$A,MATCH(A36,'Páginas'!$B:$B,0)),"FALTA"))</f>
        <v/>
      </c>
    </row>
    <row r="37">
      <c r="F37" s="29" t="n"/>
      <c r="G37" s="29" t="n"/>
      <c r="H37" s="29" t="n"/>
      <c r="I37" s="29" t="n"/>
      <c r="K37" s="29" t="n"/>
      <c r="L37" s="29" t="n"/>
      <c r="M37" s="29" t="n"/>
      <c r="N37" s="29" t="n"/>
      <c r="O37" s="30">
        <f>IF(A37="","",COUNTIF(Produtos!$A:$A,A37))</f>
        <v/>
      </c>
      <c r="P37" s="30">
        <f>IF(A37="","",IFERROR(INDEX('Páginas'!$A:$A,MATCH(A37,'Páginas'!$B:$B,0)),"FALTA"))</f>
        <v/>
      </c>
    </row>
    <row r="38">
      <c r="F38" s="29" t="n"/>
      <c r="G38" s="29" t="n"/>
      <c r="H38" s="29" t="n"/>
      <c r="I38" s="29" t="n"/>
      <c r="K38" s="29" t="n"/>
      <c r="L38" s="29" t="n"/>
      <c r="M38" s="29" t="n"/>
      <c r="N38" s="29" t="n"/>
      <c r="O38" s="30">
        <f>IF(A38="","",COUNTIF(Produtos!$A:$A,A38))</f>
        <v/>
      </c>
      <c r="P38" s="30">
        <f>IF(A38="","",IFERROR(INDEX('Páginas'!$A:$A,MATCH(A38,'Páginas'!$B:$B,0)),"FALTA"))</f>
        <v/>
      </c>
    </row>
    <row r="39">
      <c r="F39" s="29" t="n"/>
      <c r="G39" s="29" t="n"/>
      <c r="H39" s="29" t="n"/>
      <c r="I39" s="29" t="n"/>
      <c r="K39" s="29" t="n"/>
      <c r="L39" s="29" t="n"/>
      <c r="M39" s="29" t="n"/>
      <c r="N39" s="29" t="n"/>
      <c r="O39" s="30">
        <f>IF(A39="","",COUNTIF(Produtos!$A:$A,A39))</f>
        <v/>
      </c>
      <c r="P39" s="30">
        <f>IF(A39="","",IFERROR(INDEX('Páginas'!$A:$A,MATCH(A39,'Páginas'!$B:$B,0)),"FALTA"))</f>
        <v/>
      </c>
    </row>
    <row r="40">
      <c r="F40" s="29" t="n"/>
      <c r="G40" s="29" t="n"/>
      <c r="H40" s="29" t="n"/>
      <c r="I40" s="29" t="n"/>
      <c r="K40" s="29" t="n"/>
      <c r="L40" s="29" t="n"/>
      <c r="M40" s="29" t="n"/>
      <c r="N40" s="29" t="n"/>
      <c r="O40" s="30">
        <f>IF(A40="","",COUNTIF(Produtos!$A:$A,A40))</f>
        <v/>
      </c>
      <c r="P40" s="30">
        <f>IF(A40="","",IFERROR(INDEX('Páginas'!$A:$A,MATCH(A40,'Páginas'!$B:$B,0)),"FALTA"))</f>
        <v/>
      </c>
    </row>
    <row r="41">
      <c r="F41" s="29" t="n"/>
      <c r="G41" s="29" t="n"/>
      <c r="H41" s="29" t="n"/>
      <c r="I41" s="29" t="n"/>
      <c r="K41" s="29" t="n"/>
      <c r="L41" s="29" t="n"/>
      <c r="M41" s="29" t="n"/>
      <c r="N41" s="29" t="n"/>
      <c r="O41" s="30">
        <f>IF(A41="","",COUNTIF(Produtos!$A:$A,A41))</f>
        <v/>
      </c>
      <c r="P41" s="30">
        <f>IF(A41="","",IFERROR(INDEX('Páginas'!$A:$A,MATCH(A41,'Páginas'!$B:$B,0)),"FALTA"))</f>
        <v/>
      </c>
    </row>
    <row r="42">
      <c r="F42" s="29" t="n"/>
      <c r="G42" s="29" t="n"/>
      <c r="H42" s="29" t="n"/>
      <c r="I42" s="29" t="n"/>
      <c r="K42" s="29" t="n"/>
      <c r="L42" s="29" t="n"/>
      <c r="M42" s="29" t="n"/>
      <c r="N42" s="29" t="n"/>
      <c r="O42" s="30">
        <f>IF(A42="","",COUNTIF(Produtos!$A:$A,A42))</f>
        <v/>
      </c>
      <c r="P42" s="30">
        <f>IF(A42="","",IFERROR(INDEX('Páginas'!$A:$A,MATCH(A42,'Páginas'!$B:$B,0)),"FALTA"))</f>
        <v/>
      </c>
    </row>
    <row r="43">
      <c r="F43" s="29" t="n"/>
      <c r="G43" s="29" t="n"/>
      <c r="H43" s="29" t="n"/>
      <c r="I43" s="29" t="n"/>
      <c r="K43" s="29" t="n"/>
      <c r="L43" s="29" t="n"/>
      <c r="M43" s="29" t="n"/>
      <c r="N43" s="29" t="n"/>
      <c r="O43" s="30">
        <f>IF(A43="","",COUNTIF(Produtos!$A:$A,A43))</f>
        <v/>
      </c>
      <c r="P43" s="30">
        <f>IF(A43="","",IFERROR(INDEX('Páginas'!$A:$A,MATCH(A43,'Páginas'!$B:$B,0)),"FALTA"))</f>
        <v/>
      </c>
    </row>
    <row r="44">
      <c r="F44" s="29" t="n"/>
      <c r="G44" s="29" t="n"/>
      <c r="H44" s="29" t="n"/>
      <c r="I44" s="29" t="n"/>
      <c r="K44" s="29" t="n"/>
      <c r="L44" s="29" t="n"/>
      <c r="M44" s="29" t="n"/>
      <c r="N44" s="29" t="n"/>
      <c r="O44" s="30">
        <f>IF(A44="","",COUNTIF(Produtos!$A:$A,A44))</f>
        <v/>
      </c>
      <c r="P44" s="30">
        <f>IF(A44="","",IFERROR(INDEX('Páginas'!$A:$A,MATCH(A44,'Páginas'!$B:$B,0)),"FALTA"))</f>
        <v/>
      </c>
    </row>
    <row r="45">
      <c r="F45" s="29" t="n"/>
      <c r="G45" s="29" t="n"/>
      <c r="H45" s="29" t="n"/>
      <c r="I45" s="29" t="n"/>
      <c r="K45" s="29" t="n"/>
      <c r="L45" s="29" t="n"/>
      <c r="M45" s="29" t="n"/>
      <c r="N45" s="29" t="n"/>
      <c r="O45" s="30">
        <f>IF(A45="","",COUNTIF(Produtos!$A:$A,A45))</f>
        <v/>
      </c>
      <c r="P45" s="30">
        <f>IF(A45="","",IFERROR(INDEX('Páginas'!$A:$A,MATCH(A45,'Páginas'!$B:$B,0)),"FALTA"))</f>
        <v/>
      </c>
    </row>
    <row r="46">
      <c r="F46" s="29" t="n"/>
      <c r="G46" s="29" t="n"/>
      <c r="H46" s="29" t="n"/>
      <c r="I46" s="29" t="n"/>
      <c r="K46" s="29" t="n"/>
      <c r="L46" s="29" t="n"/>
      <c r="M46" s="29" t="n"/>
      <c r="N46" s="29" t="n"/>
      <c r="O46" s="30">
        <f>IF(A46="","",COUNTIF(Produtos!$A:$A,A46))</f>
        <v/>
      </c>
      <c r="P46" s="30">
        <f>IF(A46="","",IFERROR(INDEX('Páginas'!$A:$A,MATCH(A46,'Páginas'!$B:$B,0)),"FALTA"))</f>
        <v/>
      </c>
    </row>
    <row r="47">
      <c r="F47" s="29" t="n"/>
      <c r="G47" s="29" t="n"/>
      <c r="H47" s="29" t="n"/>
      <c r="I47" s="29" t="n"/>
      <c r="K47" s="29" t="n"/>
      <c r="L47" s="29" t="n"/>
      <c r="M47" s="29" t="n"/>
      <c r="N47" s="29" t="n"/>
      <c r="O47" s="30">
        <f>IF(A47="","",COUNTIF(Produtos!$A:$A,A47))</f>
        <v/>
      </c>
      <c r="P47" s="30">
        <f>IF(A47="","",IFERROR(INDEX('Páginas'!$A:$A,MATCH(A47,'Páginas'!$B:$B,0)),"FALTA"))</f>
        <v/>
      </c>
    </row>
    <row r="48">
      <c r="F48" s="29" t="n"/>
      <c r="G48" s="29" t="n"/>
      <c r="H48" s="29" t="n"/>
      <c r="I48" s="29" t="n"/>
      <c r="K48" s="29" t="n"/>
      <c r="L48" s="29" t="n"/>
      <c r="M48" s="29" t="n"/>
      <c r="N48" s="29" t="n"/>
      <c r="O48" s="30">
        <f>IF(A48="","",COUNTIF(Produtos!$A:$A,A48))</f>
        <v/>
      </c>
      <c r="P48" s="30">
        <f>IF(A48="","",IFERROR(INDEX('Páginas'!$A:$A,MATCH(A48,'Páginas'!$B:$B,0)),"FALTA"))</f>
        <v/>
      </c>
    </row>
    <row r="49">
      <c r="F49" s="29" t="n"/>
      <c r="G49" s="29" t="n"/>
      <c r="H49" s="29" t="n"/>
      <c r="I49" s="29" t="n"/>
      <c r="K49" s="29" t="n"/>
      <c r="L49" s="29" t="n"/>
      <c r="M49" s="29" t="n"/>
      <c r="N49" s="29" t="n"/>
      <c r="O49" s="30">
        <f>IF(A49="","",COUNTIF(Produtos!$A:$A,A49))</f>
        <v/>
      </c>
      <c r="P49" s="30">
        <f>IF(A49="","",IFERROR(INDEX('Páginas'!$A:$A,MATCH(A49,'Páginas'!$B:$B,0)),"FALTA"))</f>
        <v/>
      </c>
    </row>
    <row r="50">
      <c r="F50" s="29" t="n"/>
      <c r="G50" s="29" t="n"/>
      <c r="H50" s="29" t="n"/>
      <c r="I50" s="29" t="n"/>
      <c r="K50" s="29" t="n"/>
      <c r="L50" s="29" t="n"/>
      <c r="M50" s="29" t="n"/>
      <c r="N50" s="29" t="n"/>
      <c r="O50" s="30">
        <f>IF(A50="","",COUNTIF(Produtos!$A:$A,A50))</f>
        <v/>
      </c>
      <c r="P50" s="30">
        <f>IF(A50="","",IFERROR(INDEX('Páginas'!$A:$A,MATCH(A50,'Páginas'!$B:$B,0)),"FALTA"))</f>
        <v/>
      </c>
    </row>
    <row r="51">
      <c r="F51" s="29" t="n"/>
      <c r="G51" s="29" t="n"/>
      <c r="H51" s="29" t="n"/>
      <c r="I51" s="29" t="n"/>
      <c r="K51" s="29" t="n"/>
      <c r="L51" s="29" t="n"/>
      <c r="M51" s="29" t="n"/>
      <c r="N51" s="29" t="n"/>
      <c r="O51" s="30">
        <f>IF(A51="","",COUNTIF(Produtos!$A:$A,A51))</f>
        <v/>
      </c>
      <c r="P51" s="30">
        <f>IF(A51="","",IFERROR(INDEX('Páginas'!$A:$A,MATCH(A51,'Páginas'!$B:$B,0)),"FALTA"))</f>
        <v/>
      </c>
    </row>
    <row r="52">
      <c r="F52" s="29" t="n"/>
      <c r="G52" s="29" t="n"/>
      <c r="H52" s="29" t="n"/>
      <c r="I52" s="29" t="n"/>
      <c r="K52" s="29" t="n"/>
      <c r="L52" s="29" t="n"/>
      <c r="M52" s="29" t="n"/>
      <c r="N52" s="29" t="n"/>
      <c r="O52" s="30">
        <f>IF(A52="","",COUNTIF(Produtos!$A:$A,A52))</f>
        <v/>
      </c>
      <c r="P52" s="30">
        <f>IF(A52="","",IFERROR(INDEX('Páginas'!$A:$A,MATCH(A52,'Páginas'!$B:$B,0)),"FALTA"))</f>
        <v/>
      </c>
    </row>
    <row r="53">
      <c r="F53" s="29" t="n"/>
      <c r="G53" s="29" t="n"/>
      <c r="H53" s="29" t="n"/>
      <c r="I53" s="29" t="n"/>
      <c r="K53" s="29" t="n"/>
      <c r="L53" s="29" t="n"/>
      <c r="M53" s="29" t="n"/>
      <c r="N53" s="29" t="n"/>
      <c r="O53" s="30">
        <f>IF(A53="","",COUNTIF(Produtos!$A:$A,A53))</f>
        <v/>
      </c>
      <c r="P53" s="30">
        <f>IF(A53="","",IFERROR(INDEX('Páginas'!$A:$A,MATCH(A53,'Páginas'!$B:$B,0)),"FALTA"))</f>
        <v/>
      </c>
    </row>
    <row r="54">
      <c r="F54" s="29" t="n"/>
      <c r="G54" s="29" t="n"/>
      <c r="H54" s="29" t="n"/>
      <c r="I54" s="29" t="n"/>
      <c r="K54" s="29" t="n"/>
      <c r="L54" s="29" t="n"/>
      <c r="M54" s="29" t="n"/>
      <c r="N54" s="29" t="n"/>
      <c r="O54" s="30">
        <f>IF(A54="","",COUNTIF(Produtos!$A:$A,A54))</f>
        <v/>
      </c>
      <c r="P54" s="30">
        <f>IF(A54="","",IFERROR(INDEX('Páginas'!$A:$A,MATCH(A54,'Páginas'!$B:$B,0)),"FALTA"))</f>
        <v/>
      </c>
    </row>
    <row r="55">
      <c r="F55" s="29" t="n"/>
      <c r="G55" s="29" t="n"/>
      <c r="H55" s="29" t="n"/>
      <c r="I55" s="29" t="n"/>
      <c r="K55" s="29" t="n"/>
      <c r="L55" s="29" t="n"/>
      <c r="M55" s="29" t="n"/>
      <c r="N55" s="29" t="n"/>
      <c r="O55" s="30">
        <f>IF(A55="","",COUNTIF(Produtos!$A:$A,A55))</f>
        <v/>
      </c>
      <c r="P55" s="30">
        <f>IF(A55="","",IFERROR(INDEX('Páginas'!$A:$A,MATCH(A55,'Páginas'!$B:$B,0)),"FALTA"))</f>
        <v/>
      </c>
    </row>
    <row r="56">
      <c r="F56" s="29" t="n"/>
      <c r="G56" s="29" t="n"/>
      <c r="H56" s="29" t="n"/>
      <c r="I56" s="29" t="n"/>
      <c r="K56" s="29" t="n"/>
      <c r="L56" s="29" t="n"/>
      <c r="M56" s="29" t="n"/>
      <c r="N56" s="29" t="n"/>
      <c r="O56" s="30">
        <f>IF(A56="","",COUNTIF(Produtos!$A:$A,A56))</f>
        <v/>
      </c>
      <c r="P56" s="30">
        <f>IF(A56="","",IFERROR(INDEX('Páginas'!$A:$A,MATCH(A56,'Páginas'!$B:$B,0)),"FALTA"))</f>
        <v/>
      </c>
    </row>
    <row r="57">
      <c r="F57" s="29" t="n"/>
      <c r="G57" s="29" t="n"/>
      <c r="H57" s="29" t="n"/>
      <c r="I57" s="29" t="n"/>
      <c r="K57" s="29" t="n"/>
      <c r="L57" s="29" t="n"/>
      <c r="M57" s="29" t="n"/>
      <c r="N57" s="29" t="n"/>
      <c r="O57" s="30">
        <f>IF(A57="","",COUNTIF(Produtos!$A:$A,A57))</f>
        <v/>
      </c>
      <c r="P57" s="30">
        <f>IF(A57="","",IFERROR(INDEX('Páginas'!$A:$A,MATCH(A57,'Páginas'!$B:$B,0)),"FALTA"))</f>
        <v/>
      </c>
    </row>
    <row r="58">
      <c r="F58" s="29" t="n"/>
      <c r="G58" s="29" t="n"/>
      <c r="H58" s="29" t="n"/>
      <c r="I58" s="29" t="n"/>
      <c r="K58" s="29" t="n"/>
      <c r="L58" s="29" t="n"/>
      <c r="M58" s="29" t="n"/>
      <c r="N58" s="29" t="n"/>
      <c r="O58" s="30">
        <f>IF(A58="","",COUNTIF(Produtos!$A:$A,A58))</f>
        <v/>
      </c>
      <c r="P58" s="30">
        <f>IF(A58="","",IFERROR(INDEX('Páginas'!$A:$A,MATCH(A58,'Páginas'!$B:$B,0)),"FALTA"))</f>
        <v/>
      </c>
    </row>
    <row r="59">
      <c r="F59" s="29" t="n"/>
      <c r="G59" s="29" t="n"/>
      <c r="H59" s="29" t="n"/>
      <c r="I59" s="29" t="n"/>
      <c r="K59" s="29" t="n"/>
      <c r="L59" s="29" t="n"/>
      <c r="M59" s="29" t="n"/>
      <c r="N59" s="29" t="n"/>
      <c r="O59" s="30">
        <f>IF(A59="","",COUNTIF(Produtos!$A:$A,A59))</f>
        <v/>
      </c>
      <c r="P59" s="30">
        <f>IF(A59="","",IFERROR(INDEX('Páginas'!$A:$A,MATCH(A59,'Páginas'!$B:$B,0)),"FALTA"))</f>
        <v/>
      </c>
    </row>
    <row r="60">
      <c r="F60" s="29" t="n"/>
      <c r="G60" s="29" t="n"/>
      <c r="H60" s="29" t="n"/>
      <c r="I60" s="29" t="n"/>
      <c r="K60" s="29" t="n"/>
      <c r="L60" s="29" t="n"/>
      <c r="M60" s="29" t="n"/>
      <c r="N60" s="29" t="n"/>
      <c r="O60" s="30">
        <f>IF(A60="","",COUNTIF(Produtos!$A:$A,A60))</f>
        <v/>
      </c>
      <c r="P60" s="30">
        <f>IF(A60="","",IFERROR(INDEX('Páginas'!$A:$A,MATCH(A60,'Páginas'!$B:$B,0)),"FALTA"))</f>
        <v/>
      </c>
    </row>
    <row r="61">
      <c r="F61" s="29" t="n"/>
      <c r="G61" s="29" t="n"/>
      <c r="H61" s="29" t="n"/>
      <c r="I61" s="29" t="n"/>
      <c r="K61" s="29" t="n"/>
      <c r="L61" s="29" t="n"/>
      <c r="M61" s="29" t="n"/>
      <c r="N61" s="29" t="n"/>
      <c r="O61" s="30">
        <f>IF(A61="","",COUNTIF(Produtos!$A:$A,A61))</f>
        <v/>
      </c>
      <c r="P61" s="30">
        <f>IF(A61="","",IFERROR(INDEX('Páginas'!$A:$A,MATCH(A61,'Páginas'!$B:$B,0)),"FALTA"))</f>
        <v/>
      </c>
    </row>
    <row r="62">
      <c r="F62" s="29" t="n"/>
      <c r="G62" s="29" t="n"/>
      <c r="H62" s="29" t="n"/>
      <c r="I62" s="29" t="n"/>
      <c r="K62" s="29" t="n"/>
      <c r="L62" s="29" t="n"/>
      <c r="M62" s="29" t="n"/>
      <c r="N62" s="29" t="n"/>
      <c r="O62" s="30">
        <f>IF(A62="","",COUNTIF(Produtos!$A:$A,A62))</f>
        <v/>
      </c>
      <c r="P62" s="30">
        <f>IF(A62="","",IFERROR(INDEX('Páginas'!$A:$A,MATCH(A62,'Páginas'!$B:$B,0)),"FALTA"))</f>
        <v/>
      </c>
    </row>
    <row r="63">
      <c r="F63" s="29" t="n"/>
      <c r="G63" s="29" t="n"/>
      <c r="H63" s="29" t="n"/>
      <c r="I63" s="29" t="n"/>
      <c r="K63" s="29" t="n"/>
      <c r="L63" s="29" t="n"/>
      <c r="M63" s="29" t="n"/>
      <c r="N63" s="29" t="n"/>
      <c r="O63" s="30">
        <f>IF(A63="","",COUNTIF(Produtos!$A:$A,A63))</f>
        <v/>
      </c>
      <c r="P63" s="30">
        <f>IF(A63="","",IFERROR(INDEX('Páginas'!$A:$A,MATCH(A63,'Páginas'!$B:$B,0)),"FALTA"))</f>
        <v/>
      </c>
    </row>
    <row r="64">
      <c r="F64" s="29" t="n"/>
      <c r="G64" s="29" t="n"/>
      <c r="H64" s="29" t="n"/>
      <c r="I64" s="29" t="n"/>
      <c r="K64" s="29" t="n"/>
      <c r="L64" s="29" t="n"/>
      <c r="M64" s="29" t="n"/>
      <c r="N64" s="29" t="n"/>
      <c r="O64" s="30">
        <f>IF(A64="","",COUNTIF(Produtos!$A:$A,A64))</f>
        <v/>
      </c>
      <c r="P64" s="30">
        <f>IF(A64="","",IFERROR(INDEX('Páginas'!$A:$A,MATCH(A64,'Páginas'!$B:$B,0)),"FALTA"))</f>
        <v/>
      </c>
    </row>
    <row r="65">
      <c r="F65" s="29" t="n"/>
      <c r="G65" s="29" t="n"/>
      <c r="H65" s="29" t="n"/>
      <c r="I65" s="29" t="n"/>
      <c r="K65" s="29" t="n"/>
      <c r="L65" s="29" t="n"/>
      <c r="M65" s="29" t="n"/>
      <c r="N65" s="29" t="n"/>
      <c r="O65" s="30">
        <f>IF(A65="","",COUNTIF(Produtos!$A:$A,A65))</f>
        <v/>
      </c>
      <c r="P65" s="30">
        <f>IF(A65="","",IFERROR(INDEX('Páginas'!$A:$A,MATCH(A65,'Páginas'!$B:$B,0)),"FALTA"))</f>
        <v/>
      </c>
    </row>
    <row r="66">
      <c r="F66" s="29" t="n"/>
      <c r="G66" s="29" t="n"/>
      <c r="H66" s="29" t="n"/>
      <c r="I66" s="29" t="n"/>
      <c r="K66" s="29" t="n"/>
      <c r="L66" s="29" t="n"/>
      <c r="M66" s="29" t="n"/>
      <c r="N66" s="29" t="n"/>
      <c r="O66" s="30">
        <f>IF(A66="","",COUNTIF(Produtos!$A:$A,A66))</f>
        <v/>
      </c>
      <c r="P66" s="30">
        <f>IF(A66="","",IFERROR(INDEX('Páginas'!$A:$A,MATCH(A66,'Páginas'!$B:$B,0)),"FALTA"))</f>
        <v/>
      </c>
    </row>
    <row r="67">
      <c r="F67" s="29" t="n"/>
      <c r="G67" s="29" t="n"/>
      <c r="H67" s="29" t="n"/>
      <c r="I67" s="29" t="n"/>
      <c r="K67" s="29" t="n"/>
      <c r="L67" s="29" t="n"/>
      <c r="M67" s="29" t="n"/>
      <c r="N67" s="29" t="n"/>
      <c r="O67" s="30">
        <f>IF(A67="","",COUNTIF(Produtos!$A:$A,A67))</f>
        <v/>
      </c>
      <c r="P67" s="30">
        <f>IF(A67="","",IFERROR(INDEX('Páginas'!$A:$A,MATCH(A67,'Páginas'!$B:$B,0)),"FALTA"))</f>
        <v/>
      </c>
    </row>
    <row r="68">
      <c r="F68" s="29" t="n"/>
      <c r="G68" s="29" t="n"/>
      <c r="H68" s="29" t="n"/>
      <c r="I68" s="29" t="n"/>
      <c r="K68" s="29" t="n"/>
      <c r="L68" s="29" t="n"/>
      <c r="M68" s="29" t="n"/>
      <c r="N68" s="29" t="n"/>
      <c r="O68" s="30">
        <f>IF(A68="","",COUNTIF(Produtos!$A:$A,A68))</f>
        <v/>
      </c>
      <c r="P68" s="30">
        <f>IF(A68="","",IFERROR(INDEX('Páginas'!$A:$A,MATCH(A68,'Páginas'!$B:$B,0)),"FALTA"))</f>
        <v/>
      </c>
    </row>
    <row r="69">
      <c r="F69" s="29" t="n"/>
      <c r="G69" s="29" t="n"/>
      <c r="H69" s="29" t="n"/>
      <c r="I69" s="29" t="n"/>
      <c r="K69" s="29" t="n"/>
      <c r="L69" s="29" t="n"/>
      <c r="M69" s="29" t="n"/>
      <c r="N69" s="29" t="n"/>
      <c r="O69" s="30">
        <f>IF(A69="","",COUNTIF(Produtos!$A:$A,A69))</f>
        <v/>
      </c>
      <c r="P69" s="30">
        <f>IF(A69="","",IFERROR(INDEX('Páginas'!$A:$A,MATCH(A69,'Páginas'!$B:$B,0)),"FALTA"))</f>
        <v/>
      </c>
    </row>
    <row r="70">
      <c r="F70" s="29" t="n"/>
      <c r="G70" s="29" t="n"/>
      <c r="H70" s="29" t="n"/>
      <c r="I70" s="29" t="n"/>
      <c r="K70" s="29" t="n"/>
      <c r="L70" s="29" t="n"/>
      <c r="M70" s="29" t="n"/>
      <c r="N70" s="29" t="n"/>
      <c r="O70" s="30">
        <f>IF(A70="","",COUNTIF(Produtos!$A:$A,A70))</f>
        <v/>
      </c>
      <c r="P70" s="30">
        <f>IF(A70="","",IFERROR(INDEX('Páginas'!$A:$A,MATCH(A70,'Páginas'!$B:$B,0)),"FALTA"))</f>
        <v/>
      </c>
    </row>
    <row r="71">
      <c r="F71" s="29" t="n"/>
      <c r="G71" s="29" t="n"/>
      <c r="H71" s="29" t="n"/>
      <c r="I71" s="29" t="n"/>
      <c r="K71" s="29" t="n"/>
      <c r="L71" s="29" t="n"/>
      <c r="M71" s="29" t="n"/>
      <c r="N71" s="29" t="n"/>
      <c r="O71" s="30">
        <f>IF(A71="","",COUNTIF(Produtos!$A:$A,A71))</f>
        <v/>
      </c>
      <c r="P71" s="30">
        <f>IF(A71="","",IFERROR(INDEX('Páginas'!$A:$A,MATCH(A71,'Páginas'!$B:$B,0)),"FALTA"))</f>
        <v/>
      </c>
    </row>
    <row r="72">
      <c r="F72" s="29" t="n"/>
      <c r="G72" s="29" t="n"/>
      <c r="H72" s="29" t="n"/>
      <c r="I72" s="29" t="n"/>
      <c r="K72" s="29" t="n"/>
      <c r="L72" s="29" t="n"/>
      <c r="M72" s="29" t="n"/>
      <c r="N72" s="29" t="n"/>
      <c r="O72" s="30">
        <f>IF(A72="","",COUNTIF(Produtos!$A:$A,A72))</f>
        <v/>
      </c>
      <c r="P72" s="30">
        <f>IF(A72="","",IFERROR(INDEX('Páginas'!$A:$A,MATCH(A72,'Páginas'!$B:$B,0)),"FALTA"))</f>
        <v/>
      </c>
    </row>
    <row r="73">
      <c r="F73" s="29" t="n"/>
      <c r="G73" s="29" t="n"/>
      <c r="H73" s="29" t="n"/>
      <c r="I73" s="29" t="n"/>
      <c r="K73" s="29" t="n"/>
      <c r="L73" s="29" t="n"/>
      <c r="M73" s="29" t="n"/>
      <c r="N73" s="29" t="n"/>
      <c r="O73" s="30">
        <f>IF(A73="","",COUNTIF(Produtos!$A:$A,A73))</f>
        <v/>
      </c>
      <c r="P73" s="30">
        <f>IF(A73="","",IFERROR(INDEX('Páginas'!$A:$A,MATCH(A73,'Páginas'!$B:$B,0)),"FALTA"))</f>
        <v/>
      </c>
    </row>
    <row r="74">
      <c r="F74" s="29" t="n"/>
      <c r="G74" s="29" t="n"/>
      <c r="H74" s="29" t="n"/>
      <c r="I74" s="29" t="n"/>
      <c r="K74" s="29" t="n"/>
      <c r="L74" s="29" t="n"/>
      <c r="M74" s="29" t="n"/>
      <c r="N74" s="29" t="n"/>
      <c r="O74" s="30">
        <f>IF(A74="","",COUNTIF(Produtos!$A:$A,A74))</f>
        <v/>
      </c>
      <c r="P74" s="30">
        <f>IF(A74="","",IFERROR(INDEX('Páginas'!$A:$A,MATCH(A74,'Páginas'!$B:$B,0)),"FALTA"))</f>
        <v/>
      </c>
    </row>
    <row r="75">
      <c r="F75" s="29" t="n"/>
      <c r="G75" s="29" t="n"/>
      <c r="H75" s="29" t="n"/>
      <c r="I75" s="29" t="n"/>
      <c r="K75" s="29" t="n"/>
      <c r="L75" s="29" t="n"/>
      <c r="M75" s="29" t="n"/>
      <c r="N75" s="29" t="n"/>
      <c r="O75" s="30">
        <f>IF(A75="","",COUNTIF(Produtos!$A:$A,A75))</f>
        <v/>
      </c>
      <c r="P75" s="30">
        <f>IF(A75="","",IFERROR(INDEX('Páginas'!$A:$A,MATCH(A75,'Páginas'!$B:$B,0)),"FALTA"))</f>
        <v/>
      </c>
    </row>
    <row r="76">
      <c r="F76" s="29" t="n"/>
      <c r="G76" s="29" t="n"/>
      <c r="H76" s="29" t="n"/>
      <c r="I76" s="29" t="n"/>
      <c r="K76" s="29" t="n"/>
      <c r="L76" s="29" t="n"/>
      <c r="M76" s="29" t="n"/>
      <c r="N76" s="29" t="n"/>
      <c r="O76" s="30">
        <f>IF(A76="","",COUNTIF(Produtos!$A:$A,A76))</f>
        <v/>
      </c>
      <c r="P76" s="30">
        <f>IF(A76="","",IFERROR(INDEX('Páginas'!$A:$A,MATCH(A76,'Páginas'!$B:$B,0)),"FALTA"))</f>
        <v/>
      </c>
    </row>
    <row r="77">
      <c r="F77" s="29" t="n"/>
      <c r="G77" s="29" t="n"/>
      <c r="H77" s="29" t="n"/>
      <c r="I77" s="29" t="n"/>
      <c r="K77" s="29" t="n"/>
      <c r="L77" s="29" t="n"/>
      <c r="M77" s="29" t="n"/>
      <c r="N77" s="29" t="n"/>
      <c r="O77" s="30">
        <f>IF(A77="","",COUNTIF(Produtos!$A:$A,A77))</f>
        <v/>
      </c>
      <c r="P77" s="30">
        <f>IF(A77="","",IFERROR(INDEX('Páginas'!$A:$A,MATCH(A77,'Páginas'!$B:$B,0)),"FALTA"))</f>
        <v/>
      </c>
    </row>
    <row r="78">
      <c r="F78" s="29" t="n"/>
      <c r="G78" s="29" t="n"/>
      <c r="H78" s="29" t="n"/>
      <c r="I78" s="29" t="n"/>
      <c r="K78" s="29" t="n"/>
      <c r="L78" s="29" t="n"/>
      <c r="M78" s="29" t="n"/>
      <c r="N78" s="29" t="n"/>
      <c r="O78" s="30">
        <f>IF(A78="","",COUNTIF(Produtos!$A:$A,A78))</f>
        <v/>
      </c>
      <c r="P78" s="30">
        <f>IF(A78="","",IFERROR(INDEX('Páginas'!$A:$A,MATCH(A78,'Páginas'!$B:$B,0)),"FALTA"))</f>
        <v/>
      </c>
    </row>
    <row r="79">
      <c r="F79" s="29" t="n"/>
      <c r="G79" s="29" t="n"/>
      <c r="H79" s="29" t="n"/>
      <c r="I79" s="29" t="n"/>
      <c r="K79" s="29" t="n"/>
      <c r="L79" s="29" t="n"/>
      <c r="M79" s="29" t="n"/>
      <c r="N79" s="29" t="n"/>
      <c r="O79" s="30">
        <f>IF(A79="","",COUNTIF(Produtos!$A:$A,A79))</f>
        <v/>
      </c>
      <c r="P79" s="30">
        <f>IF(A79="","",IFERROR(INDEX('Páginas'!$A:$A,MATCH(A79,'Páginas'!$B:$B,0)),"FALTA"))</f>
        <v/>
      </c>
    </row>
    <row r="80">
      <c r="F80" s="29" t="n"/>
      <c r="G80" s="29" t="n"/>
      <c r="H80" s="29" t="n"/>
      <c r="I80" s="29" t="n"/>
      <c r="K80" s="29" t="n"/>
      <c r="L80" s="29" t="n"/>
      <c r="M80" s="29" t="n"/>
      <c r="N80" s="29" t="n"/>
      <c r="O80" s="30">
        <f>IF(A80="","",COUNTIF(Produtos!$A:$A,A80))</f>
        <v/>
      </c>
      <c r="P80" s="30">
        <f>IF(A80="","",IFERROR(INDEX('Páginas'!$A:$A,MATCH(A80,'Páginas'!$B:$B,0)),"FALTA"))</f>
        <v/>
      </c>
    </row>
  </sheetData>
  <autoFilter ref="A2:P18"/>
  <mergeCells count="4">
    <mergeCell ref="A1:D1"/>
    <mergeCell ref="O1:P1"/>
    <mergeCell ref="H1:N1"/>
    <mergeCell ref="E1:G1"/>
  </mergeCells>
  <dataValidations count="6">
    <dataValidation sqref="G3:G80" showDropDown="0" showInputMessage="0" showErrorMessage="1" allowBlank="1" errorTitle="Use S ou N" error="Escolha S (sim) ou N (não)." type="list">
      <formula1>"S,N"</formula1>
    </dataValidation>
    <dataValidation sqref="H3:H80" showDropDown="0" showInputMessage="0" showErrorMessage="1" allowBlank="1" errorTitle="Use S ou N" error="Escolha S (sim) ou N (não)." type="list">
      <formula1>"S,N"</formula1>
    </dataValidation>
    <dataValidation sqref="I3:I80" showDropDown="0" showInputMessage="0" showErrorMessage="1" allowBlank="1" errorTitle="Use S ou N" error="Escolha S (sim) ou N (não)." type="list">
      <formula1>"S,N"</formula1>
    </dataValidation>
    <dataValidation sqref="L3:L80" showDropDown="0" showInputMessage="0" showErrorMessage="1" allowBlank="1" errorTitle="Use S ou N" error="Escolha S (sim) ou N (não)." type="list">
      <formula1>"S,N"</formula1>
    </dataValidation>
    <dataValidation sqref="M3:M80" showDropDown="0" showInputMessage="0" showErrorMessage="1" allowBlank="1" errorTitle="Use S ou N" error="Escolha S (sim) ou N (não)." type="list">
      <formula1>"S,N"</formula1>
    </dataValidation>
    <dataValidation sqref="N3:N80" showDropDown="0" showInputMessage="0" showErrorMessage="1" allowBlank="1" errorTitle="Use S ou N" error="Escolha S (sim) ou N (não)." type="list">
      <formula1>"S,N"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D1D1F"/>
    <outlinePr summaryBelow="1" summaryRight="1"/>
    <pageSetUpPr/>
  </sheetPr>
  <dimension ref="A1:W600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3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2" customWidth="1" min="16" max="16"/>
    <col width="30" customWidth="1" min="17" max="17"/>
    <col width="11" customWidth="1" min="18" max="18"/>
    <col width="11" customWidth="1" min="19" max="19"/>
    <col width="11" customWidth="1" min="20" max="20"/>
    <col width="11" customWidth="1" min="21" max="21"/>
    <col width="18" customWidth="1" min="22" max="22"/>
    <col width="60" customWidth="1" min="23" max="23"/>
  </cols>
  <sheetData>
    <row r="1" ht="20" customHeight="1">
      <c r="A1" s="16" t="inlineStr">
        <is>
          <t>PRODUTO</t>
        </is>
      </c>
      <c r="E1" s="16" t="inlineStr">
        <is>
          <t>MARCAÇÕES</t>
        </is>
      </c>
      <c r="J1" s="16" t="inlineStr">
        <is>
          <t>DISPONIBILIDADE</t>
        </is>
      </c>
      <c r="Q1" s="16" t="inlineStr">
        <is>
          <t>PREÇOS</t>
        </is>
      </c>
      <c r="W1" s="16" t="inlineStr">
        <is>
          <t>CORES TRANSITIONS / SOLAR</t>
        </is>
      </c>
    </row>
    <row r="2" ht="44" customHeight="1">
      <c r="A2" s="9" t="inlineStr">
        <is>
          <t>Família</t>
        </is>
      </c>
      <c r="B2" s="9" t="inlineStr">
        <is>
          <t>Código</t>
        </is>
      </c>
      <c r="C2" s="9" t="inlineStr">
        <is>
          <t>Índice</t>
        </is>
      </c>
      <c r="D2" s="9" t="inlineStr">
        <is>
          <t>Nome do produto</t>
        </is>
      </c>
      <c r="E2" s="9" t="inlineStr">
        <is>
          <t>Blue UV</t>
        </is>
      </c>
      <c r="F2" s="9" t="inlineStr">
        <is>
          <t>Ponto</t>
        </is>
      </c>
      <c r="G2" s="9" t="inlineStr">
        <is>
          <t>Destaque</t>
        </is>
      </c>
      <c r="H2" s="9" t="inlineStr">
        <is>
          <t>Tratamento</t>
        </is>
      </c>
      <c r="I2" s="9" t="inlineStr">
        <is>
          <t>Pontos do tratamento</t>
        </is>
      </c>
      <c r="J2" s="9" t="inlineStr">
        <is>
          <t>Esf. máx</t>
        </is>
      </c>
      <c r="K2" s="9" t="inlineStr">
        <is>
          <t>Esf. mín</t>
        </is>
      </c>
      <c r="L2" s="9" t="inlineStr">
        <is>
          <t>Cil.</t>
        </is>
      </c>
      <c r="M2" s="9" t="inlineStr">
        <is>
          <t>Add.</t>
        </is>
      </c>
      <c r="N2" s="9" t="inlineStr">
        <is>
          <t>Diâm.</t>
        </is>
      </c>
      <c r="O2" s="9" t="inlineStr">
        <is>
          <t>Curva</t>
        </is>
      </c>
      <c r="P2" s="9" t="inlineStr">
        <is>
          <t>Linha extra</t>
        </is>
      </c>
      <c r="Q2" s="10" t="inlineStr">
        <is>
          <t>Colunas desta família</t>
        </is>
      </c>
      <c r="R2" s="9" t="inlineStr">
        <is>
          <t>Preço 1</t>
        </is>
      </c>
      <c r="S2" s="9" t="inlineStr">
        <is>
          <t>Preço 2</t>
        </is>
      </c>
      <c r="T2" s="9" t="inlineStr">
        <is>
          <t>Preço 3</t>
        </is>
      </c>
      <c r="U2" s="9" t="inlineStr">
        <is>
          <t>Preço 4</t>
        </is>
      </c>
      <c r="V2" s="9" t="inlineStr">
        <is>
          <t>Obs. do preço</t>
        </is>
      </c>
      <c r="W2" s="9" t="inlineStr">
        <is>
          <t>Cores e códigos</t>
        </is>
      </c>
    </row>
    <row r="3">
      <c r="A3" s="31" t="inlineStr">
        <is>
          <t>OPTFÁCIL GO</t>
        </is>
      </c>
      <c r="B3" s="32" t="inlineStr">
        <is>
          <t>7300</t>
        </is>
      </c>
      <c r="C3" s="33" t="inlineStr">
        <is>
          <t>1.49</t>
        </is>
      </c>
      <c r="D3" s="31" t="inlineStr">
        <is>
          <t>Resina</t>
        </is>
      </c>
      <c r="E3" s="34" t="n"/>
      <c r="F3" s="34" t="n"/>
      <c r="G3" s="34" t="n"/>
      <c r="H3" s="31" t="n"/>
      <c r="I3" s="31" t="n"/>
      <c r="J3" s="35" t="n">
        <v>4</v>
      </c>
      <c r="K3" s="35" t="n">
        <v>-4</v>
      </c>
      <c r="L3" s="31" t="n"/>
      <c r="M3" s="31" t="n"/>
      <c r="N3" s="34" t="n"/>
      <c r="O3" s="34" t="n"/>
      <c r="P3" s="31" t="n"/>
      <c r="Q3" s="36">
        <f>IF(A3="","",IFERROR(INDEX('Famílias'!$E:$E,MATCH(A3,'Famílias'!$A:$A,0)),"família não cadastrada"))</f>
        <v/>
      </c>
      <c r="R3" s="37" t="n">
        <v>76</v>
      </c>
      <c r="S3" s="37" t="n">
        <v>91</v>
      </c>
      <c r="T3" s="37" t="n">
        <v>101</v>
      </c>
      <c r="U3" s="37" t="n"/>
      <c r="V3" s="31" t="n"/>
      <c r="W3" s="31" t="n"/>
    </row>
    <row r="4">
      <c r="A4" s="31" t="inlineStr">
        <is>
          <t>OPTFÁCIL GO</t>
        </is>
      </c>
      <c r="B4" s="32" t="inlineStr">
        <is>
          <t>7302</t>
        </is>
      </c>
      <c r="C4" s="33" t="inlineStr">
        <is>
          <t>1.49</t>
        </is>
      </c>
      <c r="D4" s="31" t="inlineStr">
        <is>
          <t>Resina Foto</t>
        </is>
      </c>
      <c r="E4" s="34" t="n"/>
      <c r="F4" s="34" t="n"/>
      <c r="G4" s="34" t="n"/>
      <c r="H4" s="31" t="n"/>
      <c r="I4" s="31" t="n"/>
      <c r="J4" s="35" t="n">
        <v>4</v>
      </c>
      <c r="K4" s="35" t="n">
        <v>-4</v>
      </c>
      <c r="L4" s="31" t="n"/>
      <c r="M4" s="31" t="n"/>
      <c r="N4" s="34" t="n"/>
      <c r="O4" s="34" t="n"/>
      <c r="P4" s="31" t="n"/>
      <c r="Q4" s="36">
        <f>IF(A4="","",IFERROR(INDEX('Famílias'!$E:$E,MATCH(A4,'Famílias'!$A:$A,0)),"família não cadastrada"))</f>
        <v/>
      </c>
      <c r="R4" s="37" t="n">
        <v>109</v>
      </c>
      <c r="S4" s="37" t="n">
        <v>124</v>
      </c>
      <c r="T4" s="37" t="n">
        <v>134</v>
      </c>
      <c r="U4" s="37" t="n"/>
      <c r="V4" s="31" t="n"/>
      <c r="W4" s="31" t="n"/>
    </row>
    <row r="5">
      <c r="A5" s="31" t="inlineStr">
        <is>
          <t>OPTFÁCIL GO</t>
        </is>
      </c>
      <c r="B5" s="32" t="inlineStr">
        <is>
          <t>7301</t>
        </is>
      </c>
      <c r="C5" s="33" t="inlineStr">
        <is>
          <t>1.56</t>
        </is>
      </c>
      <c r="D5" s="31" t="inlineStr">
        <is>
          <t>Resina UV+</t>
        </is>
      </c>
      <c r="E5" s="34" t="n"/>
      <c r="F5" s="34" t="n"/>
      <c r="G5" s="34" t="n"/>
      <c r="H5" s="31" t="n"/>
      <c r="I5" s="31" t="n"/>
      <c r="J5" s="35" t="n">
        <v>4</v>
      </c>
      <c r="K5" s="35" t="n">
        <v>-4</v>
      </c>
      <c r="L5" s="31" t="n"/>
      <c r="M5" s="31" t="n"/>
      <c r="N5" s="34" t="n"/>
      <c r="O5" s="34" t="n"/>
      <c r="P5" s="31" t="n"/>
      <c r="Q5" s="36">
        <f>IF(A5="","",IFERROR(INDEX('Famílias'!$E:$E,MATCH(A5,'Famílias'!$A:$A,0)),"família não cadastrada"))</f>
        <v/>
      </c>
      <c r="R5" s="37" t="n">
        <v>90</v>
      </c>
      <c r="S5" s="37" t="n">
        <v>105</v>
      </c>
      <c r="T5" s="37" t="n">
        <v>115</v>
      </c>
      <c r="U5" s="37" t="n"/>
      <c r="V5" s="31" t="n"/>
      <c r="W5" s="31" t="n"/>
    </row>
    <row r="6">
      <c r="A6" s="31" t="inlineStr">
        <is>
          <t>OPTFÁCIL GO</t>
        </is>
      </c>
      <c r="B6" s="32" t="inlineStr">
        <is>
          <t>7306</t>
        </is>
      </c>
      <c r="C6" s="33" t="inlineStr">
        <is>
          <t>1.59</t>
        </is>
      </c>
      <c r="D6" s="31" t="inlineStr">
        <is>
          <t>Poli</t>
        </is>
      </c>
      <c r="E6" s="34" t="n"/>
      <c r="F6" s="34" t="n"/>
      <c r="G6" s="34" t="n"/>
      <c r="H6" s="31" t="n"/>
      <c r="I6" s="31" t="n"/>
      <c r="J6" s="35" t="n">
        <v>4</v>
      </c>
      <c r="K6" s="35" t="n">
        <v>-4</v>
      </c>
      <c r="L6" s="31" t="n"/>
      <c r="M6" s="31" t="n"/>
      <c r="N6" s="34" t="n"/>
      <c r="O6" s="34" t="n"/>
      <c r="P6" s="31" t="n"/>
      <c r="Q6" s="36">
        <f>IF(A6="","",IFERROR(INDEX('Famílias'!$E:$E,MATCH(A6,'Famílias'!$A:$A,0)),"família não cadastrada"))</f>
        <v/>
      </c>
      <c r="R6" s="37" t="n">
        <v>92</v>
      </c>
      <c r="S6" s="37" t="n">
        <v>107</v>
      </c>
      <c r="T6" s="37" t="n">
        <v>117</v>
      </c>
      <c r="U6" s="37" t="n"/>
      <c r="V6" s="31" t="n"/>
      <c r="W6" s="31" t="n"/>
    </row>
    <row r="7">
      <c r="A7" s="38" t="inlineStr">
        <is>
          <t>VIX TOTAL</t>
        </is>
      </c>
      <c r="B7" s="39" t="inlineStr">
        <is>
          <t>0006</t>
        </is>
      </c>
      <c r="C7" s="40" t="inlineStr">
        <is>
          <t>1.49</t>
        </is>
      </c>
      <c r="D7" s="38" t="inlineStr">
        <is>
          <t>Resina</t>
        </is>
      </c>
      <c r="E7" s="41" t="n"/>
      <c r="F7" s="41" t="n"/>
      <c r="G7" s="41" t="n"/>
      <c r="H7" s="38" t="n"/>
      <c r="I7" s="38" t="n"/>
      <c r="J7" s="42" t="n">
        <v>4</v>
      </c>
      <c r="K7" s="42" t="n">
        <v>-6</v>
      </c>
      <c r="L7" s="38" t="n"/>
      <c r="M7" s="38" t="n"/>
      <c r="N7" s="41" t="n">
        <v>75</v>
      </c>
      <c r="O7" s="41" t="n"/>
      <c r="P7" s="38" t="n"/>
      <c r="Q7" s="43">
        <f>IF(A7="","",IFERROR(INDEX('Famílias'!$E:$E,MATCH(A7,'Famílias'!$A:$A,0)),"família não cadastrada"))</f>
        <v/>
      </c>
      <c r="R7" s="44" t="n">
        <v>85</v>
      </c>
      <c r="S7" s="44" t="n">
        <v>110</v>
      </c>
      <c r="T7" s="44" t="n">
        <v>145</v>
      </c>
      <c r="U7" s="44" t="n"/>
      <c r="V7" s="38" t="n"/>
      <c r="W7" s="38" t="n"/>
    </row>
    <row r="8">
      <c r="A8" s="31" t="inlineStr">
        <is>
          <t>VIX TOTAL</t>
        </is>
      </c>
      <c r="B8" s="32" t="inlineStr">
        <is>
          <t>0009</t>
        </is>
      </c>
      <c r="C8" s="33" t="inlineStr">
        <is>
          <t>1.49</t>
        </is>
      </c>
      <c r="D8" s="31" t="inlineStr">
        <is>
          <t>Resina Sun+</t>
        </is>
      </c>
      <c r="E8" s="34" t="n"/>
      <c r="F8" s="34" t="n"/>
      <c r="G8" s="34" t="n"/>
      <c r="H8" s="31" t="n"/>
      <c r="I8" s="31" t="n"/>
      <c r="J8" s="35" t="n">
        <v>6</v>
      </c>
      <c r="K8" s="35" t="n">
        <v>-8</v>
      </c>
      <c r="L8" s="31" t="n"/>
      <c r="M8" s="31" t="n"/>
      <c r="N8" s="34" t="n">
        <v>75</v>
      </c>
      <c r="O8" s="34" t="n"/>
      <c r="P8" s="31" t="n"/>
      <c r="Q8" s="36">
        <f>IF(A8="","",IFERROR(INDEX('Famílias'!$E:$E,MATCH(A8,'Famílias'!$A:$A,0)),"família não cadastrada"))</f>
        <v/>
      </c>
      <c r="R8" s="37" t="n">
        <v>129</v>
      </c>
      <c r="S8" s="37" t="n">
        <v>154</v>
      </c>
      <c r="T8" s="37" t="n">
        <v>189</v>
      </c>
      <c r="U8" s="37" t="n"/>
      <c r="V8" s="31" t="n"/>
      <c r="W8" s="31" t="n"/>
    </row>
    <row r="9">
      <c r="A9" s="31" t="inlineStr">
        <is>
          <t>VIX TOTAL</t>
        </is>
      </c>
      <c r="B9" s="32" t="n"/>
      <c r="C9" s="33" t="inlineStr">
        <is>
          <t>1.49</t>
        </is>
      </c>
      <c r="D9" s="31" t="inlineStr">
        <is>
          <t>Resina Transitions Gen S</t>
        </is>
      </c>
      <c r="E9" s="34" t="n"/>
      <c r="F9" s="34" t="n"/>
      <c r="G9" s="34" t="n"/>
      <c r="H9" s="31" t="n"/>
      <c r="I9" s="31" t="n"/>
      <c r="J9" s="35" t="n">
        <v>5</v>
      </c>
      <c r="K9" s="35" t="n">
        <v>-6</v>
      </c>
      <c r="L9" s="31" t="n"/>
      <c r="M9" s="31" t="n"/>
      <c r="N9" s="34" t="n">
        <v>76</v>
      </c>
      <c r="O9" s="34" t="n"/>
      <c r="P9" s="31" t="n"/>
      <c r="Q9" s="36">
        <f>IF(A9="","",IFERROR(INDEX('Famílias'!$E:$E,MATCH(A9,'Famílias'!$A:$A,0)),"família não cadastrada"))</f>
        <v/>
      </c>
      <c r="R9" s="37" t="n">
        <v>229</v>
      </c>
      <c r="S9" s="37" t="n">
        <v>254</v>
      </c>
      <c r="T9" s="37" t="n">
        <v>289</v>
      </c>
      <c r="U9" s="37" t="n"/>
      <c r="V9" s="31" t="inlineStr">
        <is>
          <t>2: só Cinza 0012</t>
        </is>
      </c>
      <c r="W9" s="31" t="inlineStr">
        <is>
          <t>0012 Cinza; 0671 Marrom; 0672 Verde; 0675 Ametista; 0674 Safira; 1030 Âmbar; 0673 Esmeralda; 1031 Rubi</t>
        </is>
      </c>
    </row>
    <row r="10">
      <c r="A10" s="31" t="inlineStr">
        <is>
          <t>VIX TOTAL</t>
        </is>
      </c>
      <c r="B10" s="32" t="inlineStr">
        <is>
          <t>0574</t>
        </is>
      </c>
      <c r="C10" s="33" t="inlineStr">
        <is>
          <t>1.56</t>
        </is>
      </c>
      <c r="D10" s="31" t="inlineStr">
        <is>
          <t>Resina UV+</t>
        </is>
      </c>
      <c r="E10" s="34" t="n"/>
      <c r="F10" s="34" t="n"/>
      <c r="G10" s="34" t="n"/>
      <c r="H10" s="31" t="n"/>
      <c r="I10" s="31" t="n"/>
      <c r="J10" s="35" t="n">
        <v>6</v>
      </c>
      <c r="K10" s="35" t="n">
        <v>-8</v>
      </c>
      <c r="L10" s="31" t="n"/>
      <c r="M10" s="31" t="n"/>
      <c r="N10" s="34" t="n">
        <v>75</v>
      </c>
      <c r="O10" s="34" t="n"/>
      <c r="P10" s="31" t="n"/>
      <c r="Q10" s="36">
        <f>IF(A10="","",IFERROR(INDEX('Famílias'!$E:$E,MATCH(A10,'Famílias'!$A:$A,0)),"família não cadastrada"))</f>
        <v/>
      </c>
      <c r="R10" s="37" t="n">
        <v>122</v>
      </c>
      <c r="S10" s="37" t="n">
        <v>147</v>
      </c>
      <c r="T10" s="37" t="n">
        <v>182</v>
      </c>
      <c r="U10" s="37" t="n"/>
      <c r="V10" s="31" t="n"/>
      <c r="W10" s="31" t="n"/>
    </row>
    <row r="11">
      <c r="A11" s="31" t="inlineStr">
        <is>
          <t>VIX TOTAL</t>
        </is>
      </c>
      <c r="B11" s="32" t="inlineStr">
        <is>
          <t>0573</t>
        </is>
      </c>
      <c r="C11" s="33" t="inlineStr">
        <is>
          <t>1.56</t>
        </is>
      </c>
      <c r="D11" s="31" t="inlineStr">
        <is>
          <t>Resina Sun+ UV+</t>
        </is>
      </c>
      <c r="E11" s="34" t="n"/>
      <c r="F11" s="34" t="n"/>
      <c r="G11" s="34" t="n"/>
      <c r="H11" s="31" t="n"/>
      <c r="I11" s="31" t="n"/>
      <c r="J11" s="35" t="n">
        <v>6</v>
      </c>
      <c r="K11" s="35" t="n">
        <v>-6</v>
      </c>
      <c r="L11" s="31" t="n"/>
      <c r="M11" s="31" t="n"/>
      <c r="N11" s="34" t="n">
        <v>75</v>
      </c>
      <c r="O11" s="34" t="n"/>
      <c r="P11" s="31" t="n"/>
      <c r="Q11" s="36">
        <f>IF(A11="","",IFERROR(INDEX('Famílias'!$E:$E,MATCH(A11,'Famílias'!$A:$A,0)),"família não cadastrada"))</f>
        <v/>
      </c>
      <c r="R11" s="37" t="n">
        <v>198</v>
      </c>
      <c r="S11" s="37" t="n"/>
      <c r="T11" s="37" t="n">
        <v>258</v>
      </c>
      <c r="U11" s="37" t="n"/>
      <c r="V11" s="31" t="n"/>
      <c r="W11" s="31" t="n"/>
    </row>
    <row r="12">
      <c r="A12" s="31" t="inlineStr">
        <is>
          <t>VIX TOTAL</t>
        </is>
      </c>
      <c r="B12" s="32" t="inlineStr">
        <is>
          <t>0013</t>
        </is>
      </c>
      <c r="C12" s="33" t="inlineStr">
        <is>
          <t>1.59</t>
        </is>
      </c>
      <c r="D12" s="31" t="inlineStr">
        <is>
          <t>Poli</t>
        </is>
      </c>
      <c r="E12" s="34" t="n"/>
      <c r="F12" s="34" t="n"/>
      <c r="G12" s="34" t="n"/>
      <c r="H12" s="31" t="n"/>
      <c r="I12" s="31" t="n"/>
      <c r="J12" s="35" t="n">
        <v>6</v>
      </c>
      <c r="K12" s="35" t="n">
        <v>-8</v>
      </c>
      <c r="L12" s="31" t="n"/>
      <c r="M12" s="31" t="n"/>
      <c r="N12" s="34" t="n">
        <v>75</v>
      </c>
      <c r="O12" s="34" t="n"/>
      <c r="P12" s="31" t="n"/>
      <c r="Q12" s="36">
        <f>IF(A12="","",IFERROR(INDEX('Famílias'!$E:$E,MATCH(A12,'Famílias'!$A:$A,0)),"família não cadastrada"))</f>
        <v/>
      </c>
      <c r="R12" s="37" t="n">
        <v>125</v>
      </c>
      <c r="S12" s="37" t="n">
        <v>150</v>
      </c>
      <c r="T12" s="37" t="n">
        <v>185</v>
      </c>
      <c r="U12" s="37" t="n"/>
      <c r="V12" s="31" t="n"/>
      <c r="W12" s="31" t="n"/>
    </row>
    <row r="13">
      <c r="A13" s="31" t="inlineStr">
        <is>
          <t>VIX TOTAL</t>
        </is>
      </c>
      <c r="B13" s="32" t="inlineStr">
        <is>
          <t>0575</t>
        </is>
      </c>
      <c r="C13" s="33" t="inlineStr">
        <is>
          <t>1.59</t>
        </is>
      </c>
      <c r="D13" s="31" t="inlineStr">
        <is>
          <t>Poli UV+</t>
        </is>
      </c>
      <c r="E13" s="34" t="n"/>
      <c r="F13" s="34" t="n"/>
      <c r="G13" s="34" t="n"/>
      <c r="H13" s="31" t="n"/>
      <c r="I13" s="31" t="n"/>
      <c r="J13" s="35" t="n">
        <v>6</v>
      </c>
      <c r="K13" s="35" t="n">
        <v>-8</v>
      </c>
      <c r="L13" s="31" t="n"/>
      <c r="M13" s="31" t="n"/>
      <c r="N13" s="34" t="n">
        <v>75</v>
      </c>
      <c r="O13" s="34" t="n"/>
      <c r="P13" s="31" t="n"/>
      <c r="Q13" s="36">
        <f>IF(A13="","",IFERROR(INDEX('Famílias'!$E:$E,MATCH(A13,'Famílias'!$A:$A,0)),"família não cadastrada"))</f>
        <v/>
      </c>
      <c r="R13" s="37" t="n">
        <v>169</v>
      </c>
      <c r="S13" s="37" t="n"/>
      <c r="T13" s="37" t="n">
        <v>229</v>
      </c>
      <c r="U13" s="37" t="n"/>
      <c r="V13" s="31" t="n"/>
      <c r="W13" s="31" t="n"/>
    </row>
    <row r="14">
      <c r="A14" s="31" t="inlineStr">
        <is>
          <t>VIX TOTAL</t>
        </is>
      </c>
      <c r="B14" s="32" t="inlineStr">
        <is>
          <t>0014</t>
        </is>
      </c>
      <c r="C14" s="33" t="inlineStr">
        <is>
          <t>1.59</t>
        </is>
      </c>
      <c r="D14" s="31" t="inlineStr">
        <is>
          <t>Poli Sun+ UV+</t>
        </is>
      </c>
      <c r="E14" s="34" t="n"/>
      <c r="F14" s="34" t="n"/>
      <c r="G14" s="34" t="n"/>
      <c r="H14" s="31" t="n"/>
      <c r="I14" s="31" t="n"/>
      <c r="J14" s="35" t="n">
        <v>6</v>
      </c>
      <c r="K14" s="35" t="n">
        <v>-8</v>
      </c>
      <c r="L14" s="31" t="n"/>
      <c r="M14" s="31" t="n"/>
      <c r="N14" s="34" t="n">
        <v>75</v>
      </c>
      <c r="O14" s="34" t="n"/>
      <c r="P14" s="31" t="n"/>
      <c r="Q14" s="36">
        <f>IF(A14="","",IFERROR(INDEX('Famílias'!$E:$E,MATCH(A14,'Famílias'!$A:$A,0)),"família não cadastrada"))</f>
        <v/>
      </c>
      <c r="R14" s="37" t="n">
        <v>259</v>
      </c>
      <c r="S14" s="37" t="n"/>
      <c r="T14" s="37" t="n">
        <v>319</v>
      </c>
      <c r="U14" s="37" t="n"/>
      <c r="V14" s="31" t="n"/>
      <c r="W14" s="31" t="n"/>
    </row>
    <row r="15">
      <c r="A15" s="31" t="inlineStr">
        <is>
          <t>VIX TOTAL</t>
        </is>
      </c>
      <c r="B15" s="32" t="n"/>
      <c r="C15" s="33" t="inlineStr">
        <is>
          <t>1.59</t>
        </is>
      </c>
      <c r="D15" s="31" t="inlineStr">
        <is>
          <t>Poli Transitions Gen S</t>
        </is>
      </c>
      <c r="E15" s="34" t="n"/>
      <c r="F15" s="34" t="n"/>
      <c r="G15" s="34" t="n"/>
      <c r="H15" s="31" t="n"/>
      <c r="I15" s="31" t="n"/>
      <c r="J15" s="35" t="n">
        <v>6</v>
      </c>
      <c r="K15" s="35" t="n">
        <v>-8</v>
      </c>
      <c r="L15" s="31" t="n"/>
      <c r="M15" s="31" t="n"/>
      <c r="N15" s="34" t="n">
        <v>75</v>
      </c>
      <c r="O15" s="34" t="n"/>
      <c r="P15" s="31" t="n"/>
      <c r="Q15" s="36">
        <f>IF(A15="","",IFERROR(INDEX('Famílias'!$E:$E,MATCH(A15,'Famílias'!$A:$A,0)),"família não cadastrada"))</f>
        <v/>
      </c>
      <c r="R15" s="37" t="n">
        <v>399</v>
      </c>
      <c r="S15" s="37" t="n"/>
      <c r="T15" s="37" t="n">
        <v>459</v>
      </c>
      <c r="U15" s="37" t="n"/>
      <c r="V15" s="31" t="n"/>
      <c r="W15" s="31" t="inlineStr">
        <is>
          <t>0576 Cinza; 7408 Marrom; 7411 Verde; 7410 Ametista; 7409 Safira; 7407 Âmbar; 1072 Esmeralda; 1073 Rubi</t>
        </is>
      </c>
    </row>
    <row r="16">
      <c r="A16" s="31" t="inlineStr">
        <is>
          <t>VIX TOTAL</t>
        </is>
      </c>
      <c r="B16" s="32" t="inlineStr">
        <is>
          <t>0577</t>
        </is>
      </c>
      <c r="C16" s="33" t="inlineStr">
        <is>
          <t>1.67</t>
        </is>
      </c>
      <c r="D16" s="31" t="inlineStr">
        <is>
          <t>Resina</t>
        </is>
      </c>
      <c r="E16" s="34" t="n"/>
      <c r="F16" s="34" t="n"/>
      <c r="G16" s="34" t="n"/>
      <c r="H16" s="31" t="n"/>
      <c r="I16" s="31" t="n"/>
      <c r="J16" s="35" t="n">
        <v>7</v>
      </c>
      <c r="K16" s="35" t="n">
        <v>-9</v>
      </c>
      <c r="L16" s="31" t="n"/>
      <c r="M16" s="31" t="n"/>
      <c r="N16" s="34" t="n">
        <v>70</v>
      </c>
      <c r="O16" s="34" t="n"/>
      <c r="P16" s="31" t="n"/>
      <c r="Q16" s="36">
        <f>IF(A16="","",IFERROR(INDEX('Famílias'!$E:$E,MATCH(A16,'Famílias'!$A:$A,0)),"família não cadastrada"))</f>
        <v/>
      </c>
      <c r="R16" s="37" t="n">
        <v>259</v>
      </c>
      <c r="S16" s="37" t="n">
        <v>284</v>
      </c>
      <c r="T16" s="37" t="n">
        <v>319</v>
      </c>
      <c r="U16" s="37" t="n"/>
      <c r="V16" s="31" t="n"/>
      <c r="W16" s="31" t="n"/>
    </row>
    <row r="17">
      <c r="A17" s="31" t="inlineStr">
        <is>
          <t>VIX TOTAL</t>
        </is>
      </c>
      <c r="B17" s="32" t="inlineStr">
        <is>
          <t>0578</t>
        </is>
      </c>
      <c r="C17" s="33" t="inlineStr">
        <is>
          <t>1.67</t>
        </is>
      </c>
      <c r="D17" s="31" t="inlineStr">
        <is>
          <t>Resina UV+</t>
        </is>
      </c>
      <c r="E17" s="34" t="n"/>
      <c r="F17" s="34" t="n"/>
      <c r="G17" s="34" t="n"/>
      <c r="H17" s="31" t="n"/>
      <c r="I17" s="31" t="n"/>
      <c r="J17" s="35" t="n">
        <v>7</v>
      </c>
      <c r="K17" s="35" t="n">
        <v>-9</v>
      </c>
      <c r="L17" s="31" t="n"/>
      <c r="M17" s="31" t="n"/>
      <c r="N17" s="34" t="n">
        <v>70</v>
      </c>
      <c r="O17" s="34" t="n"/>
      <c r="P17" s="31" t="n"/>
      <c r="Q17" s="36">
        <f>IF(A17="","",IFERROR(INDEX('Famílias'!$E:$E,MATCH(A17,'Famílias'!$A:$A,0)),"família não cadastrada"))</f>
        <v/>
      </c>
      <c r="R17" s="37" t="n">
        <v>279</v>
      </c>
      <c r="S17" s="37" t="n">
        <v>304</v>
      </c>
      <c r="T17" s="37" t="n">
        <v>339</v>
      </c>
      <c r="U17" s="37" t="n"/>
      <c r="V17" s="31" t="n"/>
      <c r="W17" s="31" t="n"/>
    </row>
    <row r="18">
      <c r="A18" s="31" t="inlineStr">
        <is>
          <t>VIX TOTAL</t>
        </is>
      </c>
      <c r="B18" s="32" t="inlineStr">
        <is>
          <t>0579</t>
        </is>
      </c>
      <c r="C18" s="33" t="inlineStr">
        <is>
          <t>1.67</t>
        </is>
      </c>
      <c r="D18" s="31" t="inlineStr">
        <is>
          <t>Resina Sun+ UV+</t>
        </is>
      </c>
      <c r="E18" s="34" t="n"/>
      <c r="F18" s="34" t="n"/>
      <c r="G18" s="34" t="n"/>
      <c r="H18" s="31" t="n"/>
      <c r="I18" s="31" t="n"/>
      <c r="J18" s="35" t="n">
        <v>7</v>
      </c>
      <c r="K18" s="35" t="n">
        <v>-9</v>
      </c>
      <c r="L18" s="31" t="n"/>
      <c r="M18" s="31" t="n"/>
      <c r="N18" s="34" t="n">
        <v>75</v>
      </c>
      <c r="O18" s="34" t="n"/>
      <c r="P18" s="31" t="n"/>
      <c r="Q18" s="36">
        <f>IF(A18="","",IFERROR(INDEX('Famílias'!$E:$E,MATCH(A18,'Famílias'!$A:$A,0)),"família não cadastrada"))</f>
        <v/>
      </c>
      <c r="R18" s="37" t="n">
        <v>469</v>
      </c>
      <c r="S18" s="37" t="n"/>
      <c r="T18" s="37" t="n">
        <v>529</v>
      </c>
      <c r="U18" s="37" t="n"/>
      <c r="V18" s="31" t="n"/>
      <c r="W18" s="31" t="n"/>
    </row>
    <row r="19">
      <c r="A19" s="38" t="inlineStr">
        <is>
          <t>FREEVIX VISÃO SIMPLES</t>
        </is>
      </c>
      <c r="B19" s="39" t="inlineStr">
        <is>
          <t>0057</t>
        </is>
      </c>
      <c r="C19" s="40" t="inlineStr">
        <is>
          <t>1.49</t>
        </is>
      </c>
      <c r="D19" s="38" t="inlineStr">
        <is>
          <t>Resina</t>
        </is>
      </c>
      <c r="E19" s="41" t="n"/>
      <c r="F19" s="41" t="n"/>
      <c r="G19" s="41" t="n"/>
      <c r="H19" s="38" t="n"/>
      <c r="I19" s="38" t="n"/>
      <c r="J19" s="42" t="n">
        <v>4</v>
      </c>
      <c r="K19" s="42" t="n">
        <v>-5</v>
      </c>
      <c r="L19" s="38" t="n"/>
      <c r="M19" s="38" t="n"/>
      <c r="N19" s="41" t="n"/>
      <c r="O19" s="41" t="n"/>
      <c r="P19" s="38" t="n"/>
      <c r="Q19" s="43">
        <f>IF(A19="","",IFERROR(INDEX('Famílias'!$E:$E,MATCH(A19,'Famílias'!$A:$A,0)),"família não cadastrada"))</f>
        <v/>
      </c>
      <c r="R19" s="44" t="n">
        <v>70</v>
      </c>
      <c r="S19" s="44" t="n">
        <v>95</v>
      </c>
      <c r="T19" s="44" t="n">
        <v>130</v>
      </c>
      <c r="U19" s="44" t="n"/>
      <c r="V19" s="38" t="n"/>
      <c r="W19" s="38" t="n"/>
    </row>
    <row r="20">
      <c r="A20" s="31" t="inlineStr">
        <is>
          <t>FREEVIX VISÃO SIMPLES</t>
        </is>
      </c>
      <c r="B20" s="32" t="inlineStr">
        <is>
          <t>0058</t>
        </is>
      </c>
      <c r="C20" s="33" t="inlineStr">
        <is>
          <t>1.49</t>
        </is>
      </c>
      <c r="D20" s="31" t="inlineStr">
        <is>
          <t>Resina Sun+</t>
        </is>
      </c>
      <c r="E20" s="34" t="n"/>
      <c r="F20" s="34" t="n"/>
      <c r="G20" s="34" t="n"/>
      <c r="H20" s="31" t="n"/>
      <c r="I20" s="31" t="n"/>
      <c r="J20" s="35" t="n">
        <v>4</v>
      </c>
      <c r="K20" s="35" t="n">
        <v>-5</v>
      </c>
      <c r="L20" s="31" t="n"/>
      <c r="M20" s="31" t="n"/>
      <c r="N20" s="34" t="n"/>
      <c r="O20" s="34" t="n"/>
      <c r="P20" s="31" t="n"/>
      <c r="Q20" s="36">
        <f>IF(A20="","",IFERROR(INDEX('Famílias'!$E:$E,MATCH(A20,'Famílias'!$A:$A,0)),"família não cadastrada"))</f>
        <v/>
      </c>
      <c r="R20" s="37" t="n">
        <v>105</v>
      </c>
      <c r="S20" s="37" t="n">
        <v>130</v>
      </c>
      <c r="T20" s="37" t="n">
        <v>165</v>
      </c>
      <c r="U20" s="37" t="n"/>
      <c r="V20" s="31" t="n"/>
      <c r="W20" s="31" t="n"/>
    </row>
    <row r="21">
      <c r="A21" s="31" t="inlineStr">
        <is>
          <t>FREEVIX VISÃO SIMPLES</t>
        </is>
      </c>
      <c r="B21" s="32" t="n"/>
      <c r="C21" s="33" t="inlineStr">
        <is>
          <t>1.49</t>
        </is>
      </c>
      <c r="D21" s="31" t="inlineStr">
        <is>
          <t>Resina Transitions Gen S</t>
        </is>
      </c>
      <c r="E21" s="34" t="n"/>
      <c r="F21" s="34" t="n"/>
      <c r="G21" s="34" t="n"/>
      <c r="H21" s="31" t="n"/>
      <c r="I21" s="31" t="n"/>
      <c r="J21" s="35" t="n">
        <v>4</v>
      </c>
      <c r="K21" s="35" t="n">
        <v>-4</v>
      </c>
      <c r="L21" s="31" t="n"/>
      <c r="M21" s="31" t="n"/>
      <c r="N21" s="34" t="n"/>
      <c r="O21" s="34" t="n"/>
      <c r="P21" s="31" t="n"/>
      <c r="Q21" s="36">
        <f>IF(A21="","",IFERROR(INDEX('Famílias'!$E:$E,MATCH(A21,'Famílias'!$A:$A,0)),"família não cadastrada"))</f>
        <v/>
      </c>
      <c r="R21" s="37" t="n">
        <v>209</v>
      </c>
      <c r="S21" s="37" t="n">
        <v>234</v>
      </c>
      <c r="T21" s="37" t="n">
        <v>269</v>
      </c>
      <c r="U21" s="37" t="n"/>
      <c r="V21" s="31" t="inlineStr">
        <is>
          <t>2: só Cinza 0059</t>
        </is>
      </c>
      <c r="W21" s="31" t="inlineStr">
        <is>
          <t>0059 Cinza; 0691 Marrom; 0692 Verde; 0693 Ametista; 0694 Safira; 0695 Âmbar; 1040 Esmeralda; 1041 Rubi</t>
        </is>
      </c>
    </row>
    <row r="22">
      <c r="A22" s="31" t="inlineStr">
        <is>
          <t>FREEVIX VISÃO SIMPLES</t>
        </is>
      </c>
      <c r="B22" s="32" t="inlineStr">
        <is>
          <t>0060</t>
        </is>
      </c>
      <c r="C22" s="33" t="inlineStr">
        <is>
          <t>1.56</t>
        </is>
      </c>
      <c r="D22" s="31" t="inlineStr">
        <is>
          <t>Resina UV+</t>
        </is>
      </c>
      <c r="E22" s="34" t="n"/>
      <c r="F22" s="34" t="n"/>
      <c r="G22" s="34" t="n"/>
      <c r="H22" s="31" t="n"/>
      <c r="I22" s="31" t="n"/>
      <c r="J22" s="35" t="n">
        <v>4</v>
      </c>
      <c r="K22" s="35" t="n">
        <v>-5</v>
      </c>
      <c r="L22" s="31" t="n"/>
      <c r="M22" s="31" t="n"/>
      <c r="N22" s="34" t="n"/>
      <c r="O22" s="34" t="n"/>
      <c r="P22" s="31" t="n"/>
      <c r="Q22" s="36">
        <f>IF(A22="","",IFERROR(INDEX('Famílias'!$E:$E,MATCH(A22,'Famílias'!$A:$A,0)),"família não cadastrada"))</f>
        <v/>
      </c>
      <c r="R22" s="37" t="n">
        <v>89</v>
      </c>
      <c r="S22" s="37" t="n">
        <v>114</v>
      </c>
      <c r="T22" s="37" t="n">
        <v>149</v>
      </c>
      <c r="U22" s="37" t="n"/>
      <c r="V22" s="31" t="n"/>
      <c r="W22" s="31" t="n"/>
    </row>
    <row r="23">
      <c r="A23" s="31" t="inlineStr">
        <is>
          <t>FREEVIX VISÃO SIMPLES</t>
        </is>
      </c>
      <c r="B23" s="32" t="inlineStr">
        <is>
          <t>0571</t>
        </is>
      </c>
      <c r="C23" s="33" t="inlineStr">
        <is>
          <t>1.56</t>
        </is>
      </c>
      <c r="D23" s="31" t="inlineStr">
        <is>
          <t>Resina Sun+ UV+</t>
        </is>
      </c>
      <c r="E23" s="34" t="n"/>
      <c r="F23" s="34" t="n"/>
      <c r="G23" s="34" t="n"/>
      <c r="H23" s="31" t="n"/>
      <c r="I23" s="31" t="n"/>
      <c r="J23" s="35" t="n">
        <v>4</v>
      </c>
      <c r="K23" s="35" t="n">
        <v>-5</v>
      </c>
      <c r="L23" s="31" t="n"/>
      <c r="M23" s="31" t="n"/>
      <c r="N23" s="34" t="n"/>
      <c r="O23" s="34" t="n"/>
      <c r="P23" s="31" t="n"/>
      <c r="Q23" s="36">
        <f>IF(A23="","",IFERROR(INDEX('Famílias'!$E:$E,MATCH(A23,'Famílias'!$A:$A,0)),"família não cadastrada"))</f>
        <v/>
      </c>
      <c r="R23" s="37" t="n">
        <v>185</v>
      </c>
      <c r="S23" s="37" t="n"/>
      <c r="T23" s="37" t="n">
        <v>245</v>
      </c>
      <c r="U23" s="37" t="n"/>
      <c r="V23" s="31" t="n"/>
      <c r="W23" s="31" t="n"/>
    </row>
    <row r="24">
      <c r="A24" s="31" t="inlineStr">
        <is>
          <t>FREEVIX VISÃO SIMPLES</t>
        </is>
      </c>
      <c r="B24" s="32" t="inlineStr">
        <is>
          <t>0061</t>
        </is>
      </c>
      <c r="C24" s="33" t="inlineStr">
        <is>
          <t>1.59</t>
        </is>
      </c>
      <c r="D24" s="31" t="inlineStr">
        <is>
          <t>Poli</t>
        </is>
      </c>
      <c r="E24" s="34" t="n"/>
      <c r="F24" s="34" t="n"/>
      <c r="G24" s="34" t="n"/>
      <c r="H24" s="31" t="n"/>
      <c r="I24" s="31" t="n"/>
      <c r="J24" s="35" t="n">
        <v>6</v>
      </c>
      <c r="K24" s="35" t="n">
        <v>-6</v>
      </c>
      <c r="L24" s="31" t="n"/>
      <c r="M24" s="31" t="n"/>
      <c r="N24" s="34" t="n"/>
      <c r="O24" s="34" t="n"/>
      <c r="P24" s="31" t="n"/>
      <c r="Q24" s="36">
        <f>IF(A24="","",IFERROR(INDEX('Famílias'!$E:$E,MATCH(A24,'Famílias'!$A:$A,0)),"família não cadastrada"))</f>
        <v/>
      </c>
      <c r="R24" s="37" t="n">
        <v>89</v>
      </c>
      <c r="S24" s="37" t="n">
        <v>114</v>
      </c>
      <c r="T24" s="37" t="n">
        <v>149</v>
      </c>
      <c r="U24" s="37" t="n"/>
      <c r="V24" s="31" t="n"/>
      <c r="W24" s="31" t="n"/>
    </row>
    <row r="25">
      <c r="A25" s="31" t="inlineStr">
        <is>
          <t>FREEVIX VISÃO SIMPLES</t>
        </is>
      </c>
      <c r="B25" s="32" t="inlineStr">
        <is>
          <t>0062</t>
        </is>
      </c>
      <c r="C25" s="33" t="inlineStr">
        <is>
          <t>1.59</t>
        </is>
      </c>
      <c r="D25" s="31" t="inlineStr">
        <is>
          <t>Poli UV+</t>
        </is>
      </c>
      <c r="E25" s="34" t="n"/>
      <c r="F25" s="34" t="n"/>
      <c r="G25" s="34" t="n"/>
      <c r="H25" s="31" t="n"/>
      <c r="I25" s="31" t="n"/>
      <c r="J25" s="35" t="n">
        <v>6</v>
      </c>
      <c r="K25" s="35" t="n">
        <v>-6</v>
      </c>
      <c r="L25" s="31" t="n"/>
      <c r="M25" s="31" t="n"/>
      <c r="N25" s="34" t="n"/>
      <c r="O25" s="34" t="n"/>
      <c r="P25" s="31" t="n"/>
      <c r="Q25" s="36">
        <f>IF(A25="","",IFERROR(INDEX('Famílias'!$E:$E,MATCH(A25,'Famílias'!$A:$A,0)),"família não cadastrada"))</f>
        <v/>
      </c>
      <c r="R25" s="37" t="n">
        <v>110</v>
      </c>
      <c r="S25" s="37" t="n"/>
      <c r="T25" s="37" t="n">
        <v>170</v>
      </c>
      <c r="U25" s="37" t="n"/>
      <c r="V25" s="31" t="n"/>
      <c r="W25" s="31" t="n"/>
    </row>
    <row r="26">
      <c r="A26" s="31" t="inlineStr">
        <is>
          <t>FREEVIX VISÃO SIMPLES</t>
        </is>
      </c>
      <c r="B26" s="32" t="inlineStr">
        <is>
          <t>0591</t>
        </is>
      </c>
      <c r="C26" s="33" t="inlineStr">
        <is>
          <t>1.59</t>
        </is>
      </c>
      <c r="D26" s="31" t="inlineStr">
        <is>
          <t>Poli Sun+ UV+</t>
        </is>
      </c>
      <c r="E26" s="34" t="n"/>
      <c r="F26" s="34" t="n"/>
      <c r="G26" s="34" t="n"/>
      <c r="H26" s="31" t="n"/>
      <c r="I26" s="31" t="n"/>
      <c r="J26" s="35" t="n">
        <v>6</v>
      </c>
      <c r="K26" s="35" t="n">
        <v>-6</v>
      </c>
      <c r="L26" s="31" t="n"/>
      <c r="M26" s="31" t="n"/>
      <c r="N26" s="34" t="n"/>
      <c r="O26" s="34" t="n"/>
      <c r="P26" s="31" t="n"/>
      <c r="Q26" s="36">
        <f>IF(A26="","",IFERROR(INDEX('Famílias'!$E:$E,MATCH(A26,'Famílias'!$A:$A,0)),"família não cadastrada"))</f>
        <v/>
      </c>
      <c r="R26" s="37" t="n">
        <v>229</v>
      </c>
      <c r="S26" s="37" t="n"/>
      <c r="T26" s="37" t="n">
        <v>289</v>
      </c>
      <c r="U26" s="37" t="n"/>
      <c r="V26" s="31" t="n"/>
      <c r="W26" s="31" t="n"/>
    </row>
    <row r="27">
      <c r="A27" s="31" t="inlineStr">
        <is>
          <t>FREEVIX VISÃO SIMPLES</t>
        </is>
      </c>
      <c r="B27" s="32" t="n"/>
      <c r="C27" s="33" t="inlineStr">
        <is>
          <t>1.59</t>
        </is>
      </c>
      <c r="D27" s="31" t="inlineStr">
        <is>
          <t>Poli Transitions Gen S</t>
        </is>
      </c>
      <c r="E27" s="34" t="n"/>
      <c r="F27" s="34" t="n"/>
      <c r="G27" s="34" t="n"/>
      <c r="H27" s="31" t="n"/>
      <c r="I27" s="31" t="n"/>
      <c r="J27" s="35" t="n">
        <v>6</v>
      </c>
      <c r="K27" s="35" t="n">
        <v>-5</v>
      </c>
      <c r="L27" s="31" t="n"/>
      <c r="M27" s="31" t="n"/>
      <c r="N27" s="34" t="n"/>
      <c r="O27" s="34" t="n"/>
      <c r="P27" s="31" t="n"/>
      <c r="Q27" s="36">
        <f>IF(A27="","",IFERROR(INDEX('Famílias'!$E:$E,MATCH(A27,'Famílias'!$A:$A,0)),"família não cadastrada"))</f>
        <v/>
      </c>
      <c r="R27" s="37" t="n">
        <v>399</v>
      </c>
      <c r="S27" s="37" t="n"/>
      <c r="T27" s="37" t="n">
        <v>459</v>
      </c>
      <c r="U27" s="37" t="n"/>
      <c r="V27" s="31" t="n"/>
      <c r="W27" s="31" t="inlineStr">
        <is>
          <t>0063 Cinza; 7403 Marrom; 7406 Verde; 7402 Ametista; 7401 Safira; 7400 Âmbar; 7404 Esmeralda; 7405 Rubi</t>
        </is>
      </c>
    </row>
    <row r="28">
      <c r="A28" s="31" t="inlineStr">
        <is>
          <t>FREEVIX VISÃO SIMPLES</t>
        </is>
      </c>
      <c r="B28" s="32" t="inlineStr">
        <is>
          <t>0064</t>
        </is>
      </c>
      <c r="C28" s="33" t="inlineStr">
        <is>
          <t>1.67</t>
        </is>
      </c>
      <c r="D28" s="31" t="inlineStr">
        <is>
          <t>Resina</t>
        </is>
      </c>
      <c r="E28" s="34" t="n"/>
      <c r="F28" s="34" t="n"/>
      <c r="G28" s="34" t="n"/>
      <c r="H28" s="31" t="n"/>
      <c r="I28" s="31" t="n"/>
      <c r="J28" s="35" t="n">
        <v>7</v>
      </c>
      <c r="K28" s="35" t="n">
        <v>-9</v>
      </c>
      <c r="L28" s="31" t="n"/>
      <c r="M28" s="31" t="n"/>
      <c r="N28" s="34" t="n"/>
      <c r="O28" s="34" t="n"/>
      <c r="P28" s="31" t="n"/>
      <c r="Q28" s="36">
        <f>IF(A28="","",IFERROR(INDEX('Famílias'!$E:$E,MATCH(A28,'Famílias'!$A:$A,0)),"família não cadastrada"))</f>
        <v/>
      </c>
      <c r="R28" s="37" t="n">
        <v>199</v>
      </c>
      <c r="S28" s="37" t="n">
        <v>224</v>
      </c>
      <c r="T28" s="37" t="n">
        <v>259</v>
      </c>
      <c r="U28" s="37" t="n"/>
      <c r="V28" s="31" t="n"/>
      <c r="W28" s="31" t="n"/>
    </row>
    <row r="29">
      <c r="A29" s="31" t="inlineStr">
        <is>
          <t>FREEVIX VISÃO SIMPLES</t>
        </is>
      </c>
      <c r="B29" s="32" t="inlineStr">
        <is>
          <t>0065</t>
        </is>
      </c>
      <c r="C29" s="33" t="inlineStr">
        <is>
          <t>1.67</t>
        </is>
      </c>
      <c r="D29" s="31" t="inlineStr">
        <is>
          <t>Resina UV+</t>
        </is>
      </c>
      <c r="E29" s="34" t="n"/>
      <c r="F29" s="34" t="n"/>
      <c r="G29" s="34" t="n"/>
      <c r="H29" s="31" t="n"/>
      <c r="I29" s="31" t="n"/>
      <c r="J29" s="35" t="n">
        <v>7</v>
      </c>
      <c r="K29" s="35" t="n">
        <v>-9</v>
      </c>
      <c r="L29" s="31" t="n"/>
      <c r="M29" s="31" t="n"/>
      <c r="N29" s="34" t="n"/>
      <c r="O29" s="34" t="n"/>
      <c r="P29" s="31" t="n"/>
      <c r="Q29" s="36">
        <f>IF(A29="","",IFERROR(INDEX('Famílias'!$E:$E,MATCH(A29,'Famílias'!$A:$A,0)),"família não cadastrada"))</f>
        <v/>
      </c>
      <c r="R29" s="37" t="n">
        <v>229</v>
      </c>
      <c r="S29" s="37" t="n">
        <v>254</v>
      </c>
      <c r="T29" s="37" t="n">
        <v>289</v>
      </c>
      <c r="U29" s="37" t="n"/>
      <c r="V29" s="31" t="n"/>
      <c r="W29" s="31" t="n"/>
    </row>
    <row r="30">
      <c r="A30" s="31" t="inlineStr">
        <is>
          <t>FREEVIX VISÃO SIMPLES</t>
        </is>
      </c>
      <c r="B30" s="32" t="inlineStr">
        <is>
          <t>0572</t>
        </is>
      </c>
      <c r="C30" s="33" t="inlineStr">
        <is>
          <t>1.67</t>
        </is>
      </c>
      <c r="D30" s="31" t="inlineStr">
        <is>
          <t>Resina Sun+ UV+</t>
        </is>
      </c>
      <c r="E30" s="34" t="n"/>
      <c r="F30" s="34" t="n"/>
      <c r="G30" s="34" t="n"/>
      <c r="H30" s="31" t="n"/>
      <c r="I30" s="31" t="n"/>
      <c r="J30" s="35" t="n">
        <v>7</v>
      </c>
      <c r="K30" s="35" t="n">
        <v>-9</v>
      </c>
      <c r="L30" s="31" t="n"/>
      <c r="M30" s="31" t="n"/>
      <c r="N30" s="34" t="n"/>
      <c r="O30" s="34" t="n"/>
      <c r="P30" s="31" t="n"/>
      <c r="Q30" s="36">
        <f>IF(A30="","",IFERROR(INDEX('Famílias'!$E:$E,MATCH(A30,'Famílias'!$A:$A,0)),"família não cadastrada"))</f>
        <v/>
      </c>
      <c r="R30" s="37" t="n">
        <v>399</v>
      </c>
      <c r="S30" s="37" t="n"/>
      <c r="T30" s="37" t="n">
        <v>459</v>
      </c>
      <c r="U30" s="37" t="n"/>
      <c r="V30" s="31" t="n"/>
      <c r="W30" s="31" t="n"/>
    </row>
    <row r="31">
      <c r="A31" s="38" t="inlineStr">
        <is>
          <t>SOLAR ACABADA</t>
        </is>
      </c>
      <c r="B31" s="39" t="inlineStr">
        <is>
          <t>0357</t>
        </is>
      </c>
      <c r="C31" s="40" t="inlineStr">
        <is>
          <t>1.56</t>
        </is>
      </c>
      <c r="D31" s="38" t="inlineStr">
        <is>
          <t>Solar G15</t>
        </is>
      </c>
      <c r="E31" s="41" t="n"/>
      <c r="F31" s="41" t="n"/>
      <c r="G31" s="41" t="n"/>
      <c r="H31" s="38" t="n"/>
      <c r="I31" s="38" t="n"/>
      <c r="J31" s="42" t="n"/>
      <c r="K31" s="42" t="n"/>
      <c r="L31" s="38" t="n"/>
      <c r="M31" s="38" t="n"/>
      <c r="N31" s="41" t="n">
        <v>70</v>
      </c>
      <c r="O31" s="41" t="n">
        <v>6</v>
      </c>
      <c r="P31" s="38" t="n"/>
      <c r="Q31" s="43">
        <f>IF(A31="","",IFERROR(INDEX('Famílias'!$E:$E,MATCH(A31,'Famílias'!$A:$A,0)),"família não cadastrada"))</f>
        <v/>
      </c>
      <c r="R31" s="44" t="n">
        <v>25</v>
      </c>
      <c r="S31" s="44" t="n"/>
      <c r="T31" s="44" t="n"/>
      <c r="U31" s="44" t="n"/>
      <c r="V31" s="38" t="n"/>
      <c r="W31" s="38" t="inlineStr">
        <is>
          <t>G15</t>
        </is>
      </c>
    </row>
    <row r="32">
      <c r="A32" s="31" t="inlineStr">
        <is>
          <t>SOLAR ACABADA</t>
        </is>
      </c>
      <c r="B32" s="32" t="inlineStr">
        <is>
          <t>0359</t>
        </is>
      </c>
      <c r="C32" s="33" t="inlineStr">
        <is>
          <t>1.56</t>
        </is>
      </c>
      <c r="D32" s="31" t="inlineStr">
        <is>
          <t>Solar Cinza Black</t>
        </is>
      </c>
      <c r="E32" s="34" t="n"/>
      <c r="F32" s="34" t="n"/>
      <c r="G32" s="34" t="n"/>
      <c r="H32" s="31" t="n"/>
      <c r="I32" s="31" t="n"/>
      <c r="J32" s="35" t="n"/>
      <c r="K32" s="35" t="n"/>
      <c r="L32" s="31" t="n"/>
      <c r="M32" s="31" t="n"/>
      <c r="N32" s="34" t="n">
        <v>70</v>
      </c>
      <c r="O32" s="34" t="n">
        <v>6</v>
      </c>
      <c r="P32" s="31" t="n"/>
      <c r="Q32" s="36">
        <f>IF(A32="","",IFERROR(INDEX('Famílias'!$E:$E,MATCH(A32,'Famílias'!$A:$A,0)),"família não cadastrada"))</f>
        <v/>
      </c>
      <c r="R32" s="37" t="n">
        <v>25</v>
      </c>
      <c r="S32" s="37" t="n"/>
      <c r="T32" s="37" t="n"/>
      <c r="U32" s="37" t="n"/>
      <c r="V32" s="31" t="n"/>
      <c r="W32" s="31" t="inlineStr">
        <is>
          <t>Cinza</t>
        </is>
      </c>
    </row>
    <row r="33">
      <c r="A33" s="31" t="inlineStr">
        <is>
          <t>SOLAR ACABADA</t>
        </is>
      </c>
      <c r="B33" s="32" t="inlineStr">
        <is>
          <t>0360</t>
        </is>
      </c>
      <c r="C33" s="33" t="inlineStr">
        <is>
          <t>1.56</t>
        </is>
      </c>
      <c r="D33" s="31" t="inlineStr">
        <is>
          <t>Solar Marrom Dark</t>
        </is>
      </c>
      <c r="E33" s="34" t="n"/>
      <c r="F33" s="34" t="n"/>
      <c r="G33" s="34" t="n"/>
      <c r="H33" s="31" t="n"/>
      <c r="I33" s="31" t="n"/>
      <c r="J33" s="35" t="n"/>
      <c r="K33" s="35" t="n"/>
      <c r="L33" s="31" t="n"/>
      <c r="M33" s="31" t="n"/>
      <c r="N33" s="34" t="n">
        <v>70</v>
      </c>
      <c r="O33" s="34" t="n">
        <v>6</v>
      </c>
      <c r="P33" s="31" t="n"/>
      <c r="Q33" s="36">
        <f>IF(A33="","",IFERROR(INDEX('Famílias'!$E:$E,MATCH(A33,'Famílias'!$A:$A,0)),"família não cadastrada"))</f>
        <v/>
      </c>
      <c r="R33" s="37" t="n">
        <v>25</v>
      </c>
      <c r="S33" s="37" t="n"/>
      <c r="T33" s="37" t="n"/>
      <c r="U33" s="37" t="n"/>
      <c r="V33" s="31" t="n"/>
      <c r="W33" s="31" t="inlineStr">
        <is>
          <t>Marrom</t>
        </is>
      </c>
    </row>
    <row r="34">
      <c r="A34" s="31" t="inlineStr">
        <is>
          <t>SOLAR ACABADA</t>
        </is>
      </c>
      <c r="B34" s="32" t="inlineStr">
        <is>
          <t>0363</t>
        </is>
      </c>
      <c r="C34" s="33" t="inlineStr">
        <is>
          <t>1.56</t>
        </is>
      </c>
      <c r="D34" s="31" t="inlineStr">
        <is>
          <t>Solar Resina G15 Degradê</t>
        </is>
      </c>
      <c r="E34" s="34" t="n"/>
      <c r="F34" s="34" t="n"/>
      <c r="G34" s="34" t="n"/>
      <c r="H34" s="31" t="n"/>
      <c r="I34" s="31" t="n"/>
      <c r="J34" s="35" t="n"/>
      <c r="K34" s="35" t="n"/>
      <c r="L34" s="31" t="n"/>
      <c r="M34" s="31" t="n"/>
      <c r="N34" s="34" t="n">
        <v>70</v>
      </c>
      <c r="O34" s="34" t="n">
        <v>6</v>
      </c>
      <c r="P34" s="31" t="n"/>
      <c r="Q34" s="36">
        <f>IF(A34="","",IFERROR(INDEX('Famílias'!$E:$E,MATCH(A34,'Famílias'!$A:$A,0)),"família não cadastrada"))</f>
        <v/>
      </c>
      <c r="R34" s="37" t="n">
        <v>32</v>
      </c>
      <c r="S34" s="37" t="n"/>
      <c r="T34" s="37" t="n"/>
      <c r="U34" s="37" t="n"/>
      <c r="V34" s="31" t="n"/>
      <c r="W34" s="31" t="inlineStr">
        <is>
          <t>G15</t>
        </is>
      </c>
    </row>
    <row r="35">
      <c r="A35" s="31" t="inlineStr">
        <is>
          <t>SOLAR ACABADA</t>
        </is>
      </c>
      <c r="B35" s="32" t="inlineStr">
        <is>
          <t>0362</t>
        </is>
      </c>
      <c r="C35" s="33" t="inlineStr">
        <is>
          <t>1.56</t>
        </is>
      </c>
      <c r="D35" s="31" t="inlineStr">
        <is>
          <t>Solar Resina Cinza Black Degradê</t>
        </is>
      </c>
      <c r="E35" s="34" t="n"/>
      <c r="F35" s="34" t="n"/>
      <c r="G35" s="34" t="n"/>
      <c r="H35" s="31" t="n"/>
      <c r="I35" s="31" t="n"/>
      <c r="J35" s="35" t="n"/>
      <c r="K35" s="35" t="n"/>
      <c r="L35" s="31" t="n"/>
      <c r="M35" s="31" t="n"/>
      <c r="N35" s="34" t="n">
        <v>70</v>
      </c>
      <c r="O35" s="34" t="n">
        <v>6</v>
      </c>
      <c r="P35" s="31" t="n"/>
      <c r="Q35" s="36">
        <f>IF(A35="","",IFERROR(INDEX('Famílias'!$E:$E,MATCH(A35,'Famílias'!$A:$A,0)),"família não cadastrada"))</f>
        <v/>
      </c>
      <c r="R35" s="37" t="n">
        <v>32</v>
      </c>
      <c r="S35" s="37" t="n"/>
      <c r="T35" s="37" t="n"/>
      <c r="U35" s="37" t="n"/>
      <c r="V35" s="31" t="n"/>
      <c r="W35" s="31" t="inlineStr">
        <is>
          <t>Cinza</t>
        </is>
      </c>
    </row>
    <row r="36">
      <c r="A36" s="31" t="inlineStr">
        <is>
          <t>SOLAR ACABADA</t>
        </is>
      </c>
      <c r="B36" s="32" t="inlineStr">
        <is>
          <t>0361</t>
        </is>
      </c>
      <c r="C36" s="33" t="inlineStr">
        <is>
          <t>1.56</t>
        </is>
      </c>
      <c r="D36" s="31" t="inlineStr">
        <is>
          <t>Solar Resina Marrom Degradê</t>
        </is>
      </c>
      <c r="E36" s="34" t="n"/>
      <c r="F36" s="34" t="n"/>
      <c r="G36" s="34" t="n"/>
      <c r="H36" s="31" t="n"/>
      <c r="I36" s="31" t="n"/>
      <c r="J36" s="35" t="n"/>
      <c r="K36" s="35" t="n"/>
      <c r="L36" s="31" t="n"/>
      <c r="M36" s="31" t="n"/>
      <c r="N36" s="34" t="n">
        <v>70</v>
      </c>
      <c r="O36" s="34" t="n">
        <v>6</v>
      </c>
      <c r="P36" s="31" t="n"/>
      <c r="Q36" s="36">
        <f>IF(A36="","",IFERROR(INDEX('Famílias'!$E:$E,MATCH(A36,'Famílias'!$A:$A,0)),"família não cadastrada"))</f>
        <v/>
      </c>
      <c r="R36" s="37" t="n">
        <v>32</v>
      </c>
      <c r="S36" s="37" t="n"/>
      <c r="T36" s="37" t="n"/>
      <c r="U36" s="37" t="n"/>
      <c r="V36" s="31" t="n"/>
      <c r="W36" s="31" t="inlineStr">
        <is>
          <t>Marrom</t>
        </is>
      </c>
    </row>
    <row r="37">
      <c r="A37" s="38" t="inlineStr">
        <is>
          <t>ESPACE PLUS DIGITAL</t>
        </is>
      </c>
      <c r="B37" s="39" t="inlineStr">
        <is>
          <t>8125</t>
        </is>
      </c>
      <c r="C37" s="40" t="inlineStr">
        <is>
          <t>1.50</t>
        </is>
      </c>
      <c r="D37" s="38" t="inlineStr">
        <is>
          <t>Orma</t>
        </is>
      </c>
      <c r="E37" s="41" t="n"/>
      <c r="F37" s="41" t="n"/>
      <c r="G37" s="41" t="n"/>
      <c r="H37" s="38" t="n"/>
      <c r="I37" s="38" t="n"/>
      <c r="J37" s="42" t="n">
        <v>5.25</v>
      </c>
      <c r="K37" s="42" t="n">
        <v>-10.25</v>
      </c>
      <c r="L37" s="38" t="n"/>
      <c r="M37" s="38" t="n"/>
      <c r="N37" s="41" t="n"/>
      <c r="O37" s="41" t="n"/>
      <c r="P37" s="38" t="n"/>
      <c r="Q37" s="43">
        <f>IF(A37="","",IFERROR(INDEX('Famílias'!$E:$E,MATCH(A37,'Famílias'!$A:$A,0)),"família não cadastrada"))</f>
        <v/>
      </c>
      <c r="R37" s="44" t="n">
        <v>125</v>
      </c>
      <c r="S37" s="44" t="n"/>
      <c r="T37" s="44" t="n"/>
      <c r="U37" s="44" t="n"/>
      <c r="V37" s="38" t="n"/>
      <c r="W37" s="38" t="n"/>
    </row>
    <row r="38">
      <c r="A38" s="31" t="inlineStr">
        <is>
          <t>ESPACE PLUS DIGITAL</t>
        </is>
      </c>
      <c r="B38" s="32" t="inlineStr">
        <is>
          <t>8126</t>
        </is>
      </c>
      <c r="C38" s="33" t="inlineStr">
        <is>
          <t>1.50</t>
        </is>
      </c>
      <c r="D38" s="31" t="inlineStr">
        <is>
          <t>Orma</t>
        </is>
      </c>
      <c r="E38" s="34" t="inlineStr">
        <is>
          <t>S</t>
        </is>
      </c>
      <c r="F38" s="34" t="n"/>
      <c r="G38" s="34" t="n"/>
      <c r="H38" s="31" t="n"/>
      <c r="I38" s="31" t="n"/>
      <c r="J38" s="35" t="n">
        <v>5.25</v>
      </c>
      <c r="K38" s="35" t="n">
        <v>-10.25</v>
      </c>
      <c r="L38" s="31" t="n"/>
      <c r="M38" s="31" t="n"/>
      <c r="N38" s="34" t="n"/>
      <c r="O38" s="34" t="n"/>
      <c r="P38" s="31" t="n"/>
      <c r="Q38" s="36">
        <f>IF(A38="","",IFERROR(INDEX('Famílias'!$E:$E,MATCH(A38,'Famílias'!$A:$A,0)),"família não cadastrada"))</f>
        <v/>
      </c>
      <c r="R38" s="37" t="n">
        <v>159.9</v>
      </c>
      <c r="S38" s="37" t="n"/>
      <c r="T38" s="37" t="n"/>
      <c r="U38" s="37" t="n"/>
      <c r="V38" s="31" t="n"/>
      <c r="W38" s="31" t="n"/>
    </row>
    <row r="39">
      <c r="A39" s="31" t="inlineStr">
        <is>
          <t>ESPACE PLUS DIGITAL</t>
        </is>
      </c>
      <c r="B39" s="32" t="n"/>
      <c r="C39" s="33" t="inlineStr">
        <is>
          <t>1.50</t>
        </is>
      </c>
      <c r="D39" s="31" t="inlineStr">
        <is>
          <t>Orma Transitions Gen S</t>
        </is>
      </c>
      <c r="E39" s="34" t="inlineStr">
        <is>
          <t>S</t>
        </is>
      </c>
      <c r="F39" s="34" t="n"/>
      <c r="G39" s="34" t="n"/>
      <c r="H39" s="31" t="n"/>
      <c r="I39" s="31" t="n"/>
      <c r="J39" s="35" t="n">
        <v>5.25</v>
      </c>
      <c r="K39" s="35" t="n">
        <v>-10</v>
      </c>
      <c r="L39" s="31" t="n"/>
      <c r="M39" s="31" t="n"/>
      <c r="N39" s="34" t="n"/>
      <c r="O39" s="34" t="n"/>
      <c r="P39" s="31" t="n"/>
      <c r="Q39" s="36">
        <f>IF(A39="","",IFERROR(INDEX('Famílias'!$E:$E,MATCH(A39,'Famílias'!$A:$A,0)),"família não cadastrada"))</f>
        <v/>
      </c>
      <c r="R39" s="37" t="n">
        <v>229</v>
      </c>
      <c r="S39" s="37" t="n"/>
      <c r="T39" s="37" t="n"/>
      <c r="U39" s="37" t="n"/>
      <c r="V39" s="31" t="n"/>
      <c r="W39" s="31" t="inlineStr">
        <is>
          <t>8127 Cinza; 87000 Marrom; 87001 Verde</t>
        </is>
      </c>
    </row>
    <row r="40">
      <c r="A40" s="31" t="inlineStr">
        <is>
          <t>ESPACE PLUS DIGITAL</t>
        </is>
      </c>
      <c r="B40" s="32" t="inlineStr">
        <is>
          <t>8129</t>
        </is>
      </c>
      <c r="C40" s="33" t="inlineStr">
        <is>
          <t>1.59</t>
        </is>
      </c>
      <c r="D40" s="31" t="inlineStr">
        <is>
          <t>Poly</t>
        </is>
      </c>
      <c r="E40" s="34" t="inlineStr">
        <is>
          <t>S</t>
        </is>
      </c>
      <c r="F40" s="34" t="n"/>
      <c r="G40" s="34" t="n"/>
      <c r="H40" s="31" t="n"/>
      <c r="I40" s="31" t="n"/>
      <c r="J40" s="35" t="n">
        <v>6.5</v>
      </c>
      <c r="K40" s="35" t="n">
        <v>-11.75</v>
      </c>
      <c r="L40" s="31" t="n"/>
      <c r="M40" s="31" t="n"/>
      <c r="N40" s="34" t="n"/>
      <c r="O40" s="34" t="n"/>
      <c r="P40" s="31" t="n"/>
      <c r="Q40" s="36">
        <f>IF(A40="","",IFERROR(INDEX('Famílias'!$E:$E,MATCH(A40,'Famílias'!$A:$A,0)),"família não cadastrada"))</f>
        <v/>
      </c>
      <c r="R40" s="37" t="n">
        <v>169.9</v>
      </c>
      <c r="S40" s="37" t="n"/>
      <c r="T40" s="37" t="n"/>
      <c r="U40" s="37" t="n"/>
      <c r="V40" s="31" t="n"/>
      <c r="W40" s="31" t="n"/>
    </row>
    <row r="41">
      <c r="A41" s="31" t="inlineStr">
        <is>
          <t>ESPACE PLUS DIGITAL</t>
        </is>
      </c>
      <c r="B41" s="32" t="n"/>
      <c r="C41" s="33" t="inlineStr">
        <is>
          <t>1.59</t>
        </is>
      </c>
      <c r="D41" s="31" t="inlineStr">
        <is>
          <t>Poly Transitions Gen S</t>
        </is>
      </c>
      <c r="E41" s="34" t="inlineStr">
        <is>
          <t>S</t>
        </is>
      </c>
      <c r="F41" s="34" t="n"/>
      <c r="G41" s="34" t="n"/>
      <c r="H41" s="31" t="n"/>
      <c r="I41" s="31" t="n"/>
      <c r="J41" s="35" t="n">
        <v>6.5</v>
      </c>
      <c r="K41" s="35" t="n">
        <v>-11.75</v>
      </c>
      <c r="L41" s="31" t="n"/>
      <c r="M41" s="31" t="n"/>
      <c r="N41" s="34" t="n"/>
      <c r="O41" s="34" t="n"/>
      <c r="P41" s="31" t="n"/>
      <c r="Q41" s="36">
        <f>IF(A41="","",IFERROR(INDEX('Famílias'!$E:$E,MATCH(A41,'Famílias'!$A:$A,0)),"família não cadastrada"))</f>
        <v/>
      </c>
      <c r="R41" s="37" t="n">
        <v>319</v>
      </c>
      <c r="S41" s="37" t="n"/>
      <c r="T41" s="37" t="n"/>
      <c r="U41" s="37" t="n"/>
      <c r="V41" s="31" t="n"/>
      <c r="W41" s="31" t="inlineStr">
        <is>
          <t>8130 Cinza; 87005 Marrom; 87006 Verde</t>
        </is>
      </c>
    </row>
    <row r="42">
      <c r="A42" s="38" t="inlineStr">
        <is>
          <t>KODAK PRECISE NEXT</t>
        </is>
      </c>
      <c r="B42" s="39" t="inlineStr">
        <is>
          <t>8108</t>
        </is>
      </c>
      <c r="C42" s="40" t="inlineStr">
        <is>
          <t>1.50</t>
        </is>
      </c>
      <c r="D42" s="38" t="inlineStr">
        <is>
          <t>Resina</t>
        </is>
      </c>
      <c r="E42" s="41" t="n"/>
      <c r="F42" s="41" t="n"/>
      <c r="G42" s="41" t="n"/>
      <c r="H42" s="38" t="n"/>
      <c r="I42" s="38" t="n"/>
      <c r="J42" s="42" t="n">
        <v>5.25</v>
      </c>
      <c r="K42" s="42" t="n">
        <v>-10.25</v>
      </c>
      <c r="L42" s="38" t="n"/>
      <c r="M42" s="38" t="n"/>
      <c r="N42" s="41" t="n"/>
      <c r="O42" s="41" t="n"/>
      <c r="P42" s="38" t="n"/>
      <c r="Q42" s="43">
        <f>IF(A42="","",IFERROR(INDEX('Famílias'!$E:$E,MATCH(A42,'Famílias'!$A:$A,0)),"família não cadastrada"))</f>
        <v/>
      </c>
      <c r="R42" s="44" t="n">
        <v>129</v>
      </c>
      <c r="S42" s="44" t="n"/>
      <c r="T42" s="44" t="n"/>
      <c r="U42" s="44" t="n"/>
      <c r="V42" s="38" t="n"/>
      <c r="W42" s="38" t="n"/>
    </row>
    <row r="43">
      <c r="A43" s="31" t="inlineStr">
        <is>
          <t>KODAK PRECISE NEXT</t>
        </is>
      </c>
      <c r="B43" s="32" t="inlineStr">
        <is>
          <t>8109</t>
        </is>
      </c>
      <c r="C43" s="33" t="inlineStr">
        <is>
          <t>1.50</t>
        </is>
      </c>
      <c r="D43" s="31" t="inlineStr">
        <is>
          <t>Resina</t>
        </is>
      </c>
      <c r="E43" s="34" t="inlineStr">
        <is>
          <t>S</t>
        </is>
      </c>
      <c r="F43" s="34" t="n"/>
      <c r="G43" s="34" t="n"/>
      <c r="H43" s="31" t="n"/>
      <c r="I43" s="31" t="n"/>
      <c r="J43" s="35" t="n">
        <v>5.25</v>
      </c>
      <c r="K43" s="35" t="n">
        <v>-10.25</v>
      </c>
      <c r="L43" s="31" t="n"/>
      <c r="M43" s="31" t="n"/>
      <c r="N43" s="34" t="n"/>
      <c r="O43" s="34" t="n"/>
      <c r="P43" s="31" t="n"/>
      <c r="Q43" s="36">
        <f>IF(A43="","",IFERROR(INDEX('Famílias'!$E:$E,MATCH(A43,'Famílias'!$A:$A,0)),"família não cadastrada"))</f>
        <v/>
      </c>
      <c r="R43" s="37" t="n">
        <v>179</v>
      </c>
      <c r="S43" s="37" t="n"/>
      <c r="T43" s="37" t="n"/>
      <c r="U43" s="37" t="n"/>
      <c r="V43" s="31" t="n"/>
      <c r="W43" s="31" t="n"/>
    </row>
    <row r="44">
      <c r="A44" s="31" t="inlineStr">
        <is>
          <t>KODAK PRECISE NEXT</t>
        </is>
      </c>
      <c r="B44" s="32" t="n"/>
      <c r="C44" s="33" t="inlineStr">
        <is>
          <t>1.50</t>
        </is>
      </c>
      <c r="D44" s="31" t="inlineStr">
        <is>
          <t>Resina Transitions Gen S</t>
        </is>
      </c>
      <c r="E44" s="34" t="inlineStr">
        <is>
          <t>S</t>
        </is>
      </c>
      <c r="F44" s="34" t="n"/>
      <c r="G44" s="34" t="n"/>
      <c r="H44" s="31" t="n"/>
      <c r="I44" s="31" t="n"/>
      <c r="J44" s="35" t="n">
        <v>5.25</v>
      </c>
      <c r="K44" s="35" t="n">
        <v>-10.25</v>
      </c>
      <c r="L44" s="31" t="n"/>
      <c r="M44" s="31" t="n"/>
      <c r="N44" s="34" t="n"/>
      <c r="O44" s="34" t="n"/>
      <c r="P44" s="31" t="n"/>
      <c r="Q44" s="36">
        <f>IF(A44="","",IFERROR(INDEX('Famílias'!$E:$E,MATCH(A44,'Famílias'!$A:$A,0)),"família não cadastrada"))</f>
        <v/>
      </c>
      <c r="R44" s="37" t="n">
        <v>259.9</v>
      </c>
      <c r="S44" s="37" t="n"/>
      <c r="T44" s="37" t="n"/>
      <c r="U44" s="37" t="n"/>
      <c r="V44" s="31" t="n"/>
      <c r="W44" s="31" t="inlineStr">
        <is>
          <t>8110 Cinza; 81111 Marrom; 81110 Verde; 81113 Ametista; 81116 Safira; 81112 Âmbar; 81114 Esmeralda; 81115 Rubi</t>
        </is>
      </c>
    </row>
    <row r="45">
      <c r="A45" s="31" t="inlineStr">
        <is>
          <t>KODAK PRECISE NEXT</t>
        </is>
      </c>
      <c r="B45" s="32" t="inlineStr">
        <is>
          <t>8114</t>
        </is>
      </c>
      <c r="C45" s="33" t="inlineStr">
        <is>
          <t>1.59</t>
        </is>
      </c>
      <c r="D45" s="31" t="inlineStr">
        <is>
          <t>Poly</t>
        </is>
      </c>
      <c r="E45" s="34" t="inlineStr">
        <is>
          <t>S</t>
        </is>
      </c>
      <c r="F45" s="34" t="n"/>
      <c r="G45" s="34" t="n"/>
      <c r="H45" s="31" t="n"/>
      <c r="I45" s="31" t="n"/>
      <c r="J45" s="35" t="n">
        <v>6.5</v>
      </c>
      <c r="K45" s="35" t="n">
        <v>-11.75</v>
      </c>
      <c r="L45" s="31" t="n"/>
      <c r="M45" s="31" t="n"/>
      <c r="N45" s="34" t="n"/>
      <c r="O45" s="34" t="n"/>
      <c r="P45" s="31" t="n"/>
      <c r="Q45" s="36">
        <f>IF(A45="","",IFERROR(INDEX('Famílias'!$E:$E,MATCH(A45,'Famílias'!$A:$A,0)),"família não cadastrada"))</f>
        <v/>
      </c>
      <c r="R45" s="37" t="n">
        <v>199</v>
      </c>
      <c r="S45" s="37" t="n"/>
      <c r="T45" s="37" t="n"/>
      <c r="U45" s="37" t="n"/>
      <c r="V45" s="31" t="n"/>
      <c r="W45" s="31" t="n"/>
    </row>
    <row r="46">
      <c r="A46" s="31" t="inlineStr">
        <is>
          <t>KODAK PRECISE NEXT</t>
        </is>
      </c>
      <c r="B46" s="32" t="n"/>
      <c r="C46" s="33" t="inlineStr">
        <is>
          <t>1.59</t>
        </is>
      </c>
      <c r="D46" s="31" t="inlineStr">
        <is>
          <t>Poly Transitions Gen S</t>
        </is>
      </c>
      <c r="E46" s="34" t="inlineStr">
        <is>
          <t>S</t>
        </is>
      </c>
      <c r="F46" s="34" t="n"/>
      <c r="G46" s="34" t="n"/>
      <c r="H46" s="31" t="n"/>
      <c r="I46" s="31" t="n"/>
      <c r="J46" s="35" t="n">
        <v>6.5</v>
      </c>
      <c r="K46" s="35" t="n">
        <v>-11.75</v>
      </c>
      <c r="L46" s="31" t="n"/>
      <c r="M46" s="31" t="n"/>
      <c r="N46" s="34" t="n"/>
      <c r="O46" s="34" t="n"/>
      <c r="P46" s="31" t="n"/>
      <c r="Q46" s="36">
        <f>IF(A46="","",IFERROR(INDEX('Famílias'!$E:$E,MATCH(A46,'Famílias'!$A:$A,0)),"família não cadastrada"))</f>
        <v/>
      </c>
      <c r="R46" s="37" t="n">
        <v>339</v>
      </c>
      <c r="S46" s="37" t="n"/>
      <c r="T46" s="37" t="n"/>
      <c r="U46" s="37" t="n"/>
      <c r="V46" s="31" t="n"/>
      <c r="W46" s="31" t="inlineStr">
        <is>
          <t>8115 Cinza; 81119 Marrom; 81118 Verde; 81121 Ametista; 81124 Safira; 81120 Âmbar; 81122 Esmeralda; 81123 Rubi</t>
        </is>
      </c>
    </row>
    <row r="47">
      <c r="A47" s="31" t="inlineStr">
        <is>
          <t>KODAK PRECISE NEXT</t>
        </is>
      </c>
      <c r="B47" s="32" t="inlineStr">
        <is>
          <t>8116</t>
        </is>
      </c>
      <c r="C47" s="33" t="inlineStr">
        <is>
          <t>1.67</t>
        </is>
      </c>
      <c r="D47" s="31" t="inlineStr">
        <is>
          <t>Resina</t>
        </is>
      </c>
      <c r="E47" s="34" t="inlineStr">
        <is>
          <t>S</t>
        </is>
      </c>
      <c r="F47" s="34" t="n"/>
      <c r="G47" s="34" t="n"/>
      <c r="H47" s="31" t="n"/>
      <c r="I47" s="31" t="n"/>
      <c r="J47" s="35" t="n">
        <v>8</v>
      </c>
      <c r="K47" s="35" t="n">
        <v>-14</v>
      </c>
      <c r="L47" s="31" t="n"/>
      <c r="M47" s="31" t="n"/>
      <c r="N47" s="34" t="n"/>
      <c r="O47" s="34" t="n"/>
      <c r="P47" s="31" t="n"/>
      <c r="Q47" s="36">
        <f>IF(A47="","",IFERROR(INDEX('Famílias'!$E:$E,MATCH(A47,'Famílias'!$A:$A,0)),"família não cadastrada"))</f>
        <v/>
      </c>
      <c r="R47" s="37" t="n"/>
      <c r="S47" s="37" t="n">
        <v>685</v>
      </c>
      <c r="T47" s="37" t="n">
        <v>742</v>
      </c>
      <c r="U47" s="37" t="n"/>
      <c r="V47" s="31" t="n"/>
      <c r="W47" s="31" t="n"/>
    </row>
    <row r="48">
      <c r="A48" s="31" t="inlineStr">
        <is>
          <t>KODAK PRECISE NEXT</t>
        </is>
      </c>
      <c r="B48" s="32" t="n"/>
      <c r="C48" s="33" t="inlineStr">
        <is>
          <t>1.67</t>
        </is>
      </c>
      <c r="D48" s="31" t="inlineStr">
        <is>
          <t>Resina Transitions Gen S</t>
        </is>
      </c>
      <c r="E48" s="34" t="inlineStr">
        <is>
          <t>S</t>
        </is>
      </c>
      <c r="F48" s="34" t="n"/>
      <c r="G48" s="34" t="n"/>
      <c r="H48" s="31" t="n"/>
      <c r="I48" s="31" t="n"/>
      <c r="J48" s="35" t="n">
        <v>8</v>
      </c>
      <c r="K48" s="35" t="n">
        <v>-14</v>
      </c>
      <c r="L48" s="31" t="n"/>
      <c r="M48" s="31" t="n"/>
      <c r="N48" s="34" t="n"/>
      <c r="O48" s="34" t="n"/>
      <c r="P48" s="31" t="n"/>
      <c r="Q48" s="36">
        <f>IF(A48="","",IFERROR(INDEX('Famílias'!$E:$E,MATCH(A48,'Famílias'!$A:$A,0)),"família não cadastrada"))</f>
        <v/>
      </c>
      <c r="R48" s="37" t="n"/>
      <c r="S48" s="37" t="n">
        <v>999</v>
      </c>
      <c r="T48" s="37" t="n">
        <v>1056</v>
      </c>
      <c r="U48" s="37" t="n"/>
      <c r="V48" s="31" t="n"/>
      <c r="W48" s="31" t="inlineStr">
        <is>
          <t>8117 Cinza; 8118 Marrom; 8119 Verde</t>
        </is>
      </c>
    </row>
    <row r="49">
      <c r="A49" s="38" t="inlineStr">
        <is>
          <t>KODAK NETWORK UHD</t>
        </is>
      </c>
      <c r="B49" s="39" t="inlineStr">
        <is>
          <t>8099</t>
        </is>
      </c>
      <c r="C49" s="40" t="inlineStr">
        <is>
          <t>1.50</t>
        </is>
      </c>
      <c r="D49" s="38" t="inlineStr">
        <is>
          <t>Resina</t>
        </is>
      </c>
      <c r="E49" s="41" t="n"/>
      <c r="F49" s="41" t="n"/>
      <c r="G49" s="41" t="n"/>
      <c r="H49" s="38" t="n"/>
      <c r="I49" s="38" t="n"/>
      <c r="J49" s="42" t="n">
        <v>5.25</v>
      </c>
      <c r="K49" s="42" t="n">
        <v>-10.25</v>
      </c>
      <c r="L49" s="38" t="n"/>
      <c r="M49" s="38" t="n"/>
      <c r="N49" s="41" t="n"/>
      <c r="O49" s="41" t="n"/>
      <c r="P49" s="38" t="n"/>
      <c r="Q49" s="43">
        <f>IF(A49="","",IFERROR(INDEX('Famílias'!$E:$E,MATCH(A49,'Famílias'!$A:$A,0)),"família não cadastrada"))</f>
        <v/>
      </c>
      <c r="R49" s="44" t="n">
        <v>235</v>
      </c>
      <c r="S49" s="44" t="n"/>
      <c r="T49" s="44" t="n"/>
      <c r="U49" s="44" t="n"/>
      <c r="V49" s="38" t="n"/>
      <c r="W49" s="38" t="n"/>
    </row>
    <row r="50">
      <c r="A50" s="31" t="inlineStr">
        <is>
          <t>KODAK NETWORK UHD</t>
        </is>
      </c>
      <c r="B50" s="32" t="inlineStr">
        <is>
          <t>8100</t>
        </is>
      </c>
      <c r="C50" s="33" t="inlineStr">
        <is>
          <t>1.50</t>
        </is>
      </c>
      <c r="D50" s="31" t="inlineStr">
        <is>
          <t>Resina</t>
        </is>
      </c>
      <c r="E50" s="34" t="inlineStr">
        <is>
          <t>S</t>
        </is>
      </c>
      <c r="F50" s="34" t="n"/>
      <c r="G50" s="34" t="n"/>
      <c r="H50" s="31" t="n"/>
      <c r="I50" s="31" t="n"/>
      <c r="J50" s="35" t="n">
        <v>5.25</v>
      </c>
      <c r="K50" s="35" t="n">
        <v>-10.25</v>
      </c>
      <c r="L50" s="31" t="n"/>
      <c r="M50" s="31" t="n"/>
      <c r="N50" s="34" t="n"/>
      <c r="O50" s="34" t="n"/>
      <c r="P50" s="31" t="n"/>
      <c r="Q50" s="36">
        <f>IF(A50="","",IFERROR(INDEX('Famílias'!$E:$E,MATCH(A50,'Famílias'!$A:$A,0)),"família não cadastrada"))</f>
        <v/>
      </c>
      <c r="R50" s="37" t="n">
        <v>259</v>
      </c>
      <c r="S50" s="37" t="n"/>
      <c r="T50" s="37" t="n"/>
      <c r="U50" s="37" t="n"/>
      <c r="V50" s="31" t="n"/>
      <c r="W50" s="31" t="n"/>
    </row>
    <row r="51">
      <c r="A51" s="31" t="inlineStr">
        <is>
          <t>KODAK NETWORK UHD</t>
        </is>
      </c>
      <c r="B51" s="32" t="n"/>
      <c r="C51" s="33" t="inlineStr">
        <is>
          <t>1.50</t>
        </is>
      </c>
      <c r="D51" s="31" t="inlineStr">
        <is>
          <t>Resina Transitions Gen S</t>
        </is>
      </c>
      <c r="E51" s="34" t="inlineStr">
        <is>
          <t>S</t>
        </is>
      </c>
      <c r="F51" s="34" t="n"/>
      <c r="G51" s="34" t="n"/>
      <c r="H51" s="31" t="n"/>
      <c r="I51" s="31" t="n"/>
      <c r="J51" s="35" t="n">
        <v>5.25</v>
      </c>
      <c r="K51" s="35" t="n">
        <v>-10.25</v>
      </c>
      <c r="L51" s="31" t="n"/>
      <c r="M51" s="31" t="n"/>
      <c r="N51" s="34" t="n"/>
      <c r="O51" s="34" t="n"/>
      <c r="P51" s="31" t="n"/>
      <c r="Q51" s="36">
        <f>IF(A51="","",IFERROR(INDEX('Famílias'!$E:$E,MATCH(A51,'Famílias'!$A:$A,0)),"família não cadastrada"))</f>
        <v/>
      </c>
      <c r="R51" s="37" t="n">
        <v>379</v>
      </c>
      <c r="S51" s="37" t="n"/>
      <c r="T51" s="37" t="n"/>
      <c r="U51" s="37" t="n"/>
      <c r="V51" s="31" t="n"/>
      <c r="W51" s="31" t="inlineStr">
        <is>
          <t>8101 Cinza; 86406 Marrom; 86407 Verde; 86409 Ametista; 86410 Safira; 86408 Âmbar; 86412 Esmeralda; 86411 Rubi</t>
        </is>
      </c>
    </row>
    <row r="52">
      <c r="A52" s="31" t="inlineStr">
        <is>
          <t>KODAK NETWORK UHD</t>
        </is>
      </c>
      <c r="B52" s="32" t="inlineStr">
        <is>
          <t>86413</t>
        </is>
      </c>
      <c r="C52" s="33" t="inlineStr">
        <is>
          <t>1.50</t>
        </is>
      </c>
      <c r="D52" s="31" t="inlineStr">
        <is>
          <t>Resina Transitions XTRActive</t>
        </is>
      </c>
      <c r="E52" s="34" t="inlineStr">
        <is>
          <t>S</t>
        </is>
      </c>
      <c r="F52" s="34" t="n"/>
      <c r="G52" s="34" t="n"/>
      <c r="H52" s="31" t="n"/>
      <c r="I52" s="31" t="n"/>
      <c r="J52" s="35" t="n">
        <v>5.25</v>
      </c>
      <c r="K52" s="35" t="n">
        <v>-10.25</v>
      </c>
      <c r="L52" s="31" t="n"/>
      <c r="M52" s="31" t="n"/>
      <c r="N52" s="34" t="n"/>
      <c r="O52" s="34" t="n"/>
      <c r="P52" s="31" t="n"/>
      <c r="Q52" s="36">
        <f>IF(A52="","",IFERROR(INDEX('Famílias'!$E:$E,MATCH(A52,'Famílias'!$A:$A,0)),"família não cadastrada"))</f>
        <v/>
      </c>
      <c r="R52" s="37" t="n">
        <v>399</v>
      </c>
      <c r="S52" s="37" t="n"/>
      <c r="T52" s="37" t="n"/>
      <c r="U52" s="37" t="n"/>
      <c r="V52" s="31" t="n"/>
      <c r="W52" s="31" t="inlineStr">
        <is>
          <t>86413 Cinza</t>
        </is>
      </c>
    </row>
    <row r="53">
      <c r="A53" s="31" t="inlineStr">
        <is>
          <t>KODAK NETWORK UHD</t>
        </is>
      </c>
      <c r="B53" s="32" t="inlineStr">
        <is>
          <t>8102</t>
        </is>
      </c>
      <c r="C53" s="33" t="inlineStr">
        <is>
          <t>1.59</t>
        </is>
      </c>
      <c r="D53" s="31" t="inlineStr">
        <is>
          <t>Poly</t>
        </is>
      </c>
      <c r="E53" s="34" t="inlineStr">
        <is>
          <t>S</t>
        </is>
      </c>
      <c r="F53" s="34" t="n"/>
      <c r="G53" s="34" t="n"/>
      <c r="H53" s="31" t="n"/>
      <c r="I53" s="31" t="n"/>
      <c r="J53" s="35" t="n">
        <v>6.5</v>
      </c>
      <c r="K53" s="35" t="n">
        <v>-11.75</v>
      </c>
      <c r="L53" s="31" t="n"/>
      <c r="M53" s="31" t="n"/>
      <c r="N53" s="34" t="n"/>
      <c r="O53" s="34" t="n"/>
      <c r="P53" s="31" t="n"/>
      <c r="Q53" s="36">
        <f>IF(A53="","",IFERROR(INDEX('Famílias'!$E:$E,MATCH(A53,'Famílias'!$A:$A,0)),"família não cadastrada"))</f>
        <v/>
      </c>
      <c r="R53" s="37" t="n">
        <v>289</v>
      </c>
      <c r="S53" s="37" t="n"/>
      <c r="T53" s="37" t="n"/>
      <c r="U53" s="37" t="n"/>
      <c r="V53" s="31" t="n"/>
      <c r="W53" s="31" t="n"/>
    </row>
    <row r="54">
      <c r="A54" s="31" t="inlineStr">
        <is>
          <t>KODAK NETWORK UHD</t>
        </is>
      </c>
      <c r="B54" s="32" t="n"/>
      <c r="C54" s="33" t="inlineStr">
        <is>
          <t>1.59</t>
        </is>
      </c>
      <c r="D54" s="31" t="inlineStr">
        <is>
          <t>Poly Transitions Gen S</t>
        </is>
      </c>
      <c r="E54" s="34" t="inlineStr">
        <is>
          <t>S</t>
        </is>
      </c>
      <c r="F54" s="34" t="n"/>
      <c r="G54" s="34" t="n"/>
      <c r="H54" s="31" t="n"/>
      <c r="I54" s="31" t="n"/>
      <c r="J54" s="35" t="n">
        <v>6.5</v>
      </c>
      <c r="K54" s="35" t="n">
        <v>-11.75</v>
      </c>
      <c r="L54" s="31" t="n"/>
      <c r="M54" s="31" t="n"/>
      <c r="N54" s="34" t="n"/>
      <c r="O54" s="34" t="n"/>
      <c r="P54" s="31" t="n"/>
      <c r="Q54" s="36">
        <f>IF(A54="","",IFERROR(INDEX('Famílias'!$E:$E,MATCH(A54,'Famílias'!$A:$A,0)),"família não cadastrada"))</f>
        <v/>
      </c>
      <c r="R54" s="37" t="n">
        <v>435</v>
      </c>
      <c r="S54" s="37" t="n"/>
      <c r="T54" s="37" t="n"/>
      <c r="U54" s="37" t="n"/>
      <c r="V54" s="31" t="n"/>
      <c r="W54" s="31" t="inlineStr">
        <is>
          <t>8103 Cinza; 86414 Marrom; 86415 Verde; 86417 Ametista; 86418 Safira; 86416 Âmbar; 86420 Esmeralda; 86419 Rubi</t>
        </is>
      </c>
    </row>
    <row r="55">
      <c r="A55" s="31" t="inlineStr">
        <is>
          <t>KODAK NETWORK UHD</t>
        </is>
      </c>
      <c r="B55" s="32" t="inlineStr">
        <is>
          <t>86421</t>
        </is>
      </c>
      <c r="C55" s="33" t="inlineStr">
        <is>
          <t>1.59</t>
        </is>
      </c>
      <c r="D55" s="31" t="inlineStr">
        <is>
          <t>Poly Transitions XTRActive</t>
        </is>
      </c>
      <c r="E55" s="34" t="inlineStr">
        <is>
          <t>S</t>
        </is>
      </c>
      <c r="F55" s="34" t="n"/>
      <c r="G55" s="34" t="n"/>
      <c r="H55" s="31" t="n"/>
      <c r="I55" s="31" t="n"/>
      <c r="J55" s="35" t="n">
        <v>6.5</v>
      </c>
      <c r="K55" s="35" t="n">
        <v>-11.75</v>
      </c>
      <c r="L55" s="31" t="n"/>
      <c r="M55" s="31" t="n"/>
      <c r="N55" s="34" t="n"/>
      <c r="O55" s="34" t="n"/>
      <c r="P55" s="31" t="n"/>
      <c r="Q55" s="36">
        <f>IF(A55="","",IFERROR(INDEX('Famílias'!$E:$E,MATCH(A55,'Famílias'!$A:$A,0)),"família não cadastrada"))</f>
        <v/>
      </c>
      <c r="R55" s="37" t="n">
        <v>505</v>
      </c>
      <c r="S55" s="37" t="n"/>
      <c r="T55" s="37" t="n"/>
      <c r="U55" s="37" t="n"/>
      <c r="V55" s="31" t="n"/>
      <c r="W55" s="31" t="inlineStr">
        <is>
          <t>86421 Cinza</t>
        </is>
      </c>
    </row>
    <row r="56">
      <c r="A56" s="31" t="inlineStr">
        <is>
          <t>KODAK NETWORK UHD</t>
        </is>
      </c>
      <c r="B56" s="32" t="inlineStr">
        <is>
          <t>8104</t>
        </is>
      </c>
      <c r="C56" s="33" t="inlineStr">
        <is>
          <t>1.67</t>
        </is>
      </c>
      <c r="D56" s="31" t="inlineStr">
        <is>
          <t>Resina</t>
        </is>
      </c>
      <c r="E56" s="34" t="inlineStr">
        <is>
          <t>S</t>
        </is>
      </c>
      <c r="F56" s="34" t="n"/>
      <c r="G56" s="34" t="n"/>
      <c r="H56" s="31" t="n"/>
      <c r="I56" s="31" t="n"/>
      <c r="J56" s="35" t="n">
        <v>8</v>
      </c>
      <c r="K56" s="35" t="n">
        <v>-14</v>
      </c>
      <c r="L56" s="31" t="n"/>
      <c r="M56" s="31" t="n"/>
      <c r="N56" s="34" t="n"/>
      <c r="O56" s="34" t="n"/>
      <c r="P56" s="31" t="n"/>
      <c r="Q56" s="36">
        <f>IF(A56="","",IFERROR(INDEX('Famílias'!$E:$E,MATCH(A56,'Famílias'!$A:$A,0)),"família não cadastrada"))</f>
        <v/>
      </c>
      <c r="R56" s="37" t="n"/>
      <c r="S56" s="37" t="n">
        <v>761.5</v>
      </c>
      <c r="T56" s="37" t="n">
        <v>818.5</v>
      </c>
      <c r="U56" s="37" t="n"/>
      <c r="V56" s="31" t="n"/>
      <c r="W56" s="31" t="n"/>
    </row>
    <row r="57">
      <c r="A57" s="31" t="inlineStr">
        <is>
          <t>KODAK NETWORK UHD</t>
        </is>
      </c>
      <c r="B57" s="32" t="n"/>
      <c r="C57" s="33" t="inlineStr">
        <is>
          <t>1.67</t>
        </is>
      </c>
      <c r="D57" s="31" t="inlineStr">
        <is>
          <t>Resina Transitions Gen S</t>
        </is>
      </c>
      <c r="E57" s="34" t="inlineStr">
        <is>
          <t>S</t>
        </is>
      </c>
      <c r="F57" s="34" t="n"/>
      <c r="G57" s="34" t="n"/>
      <c r="H57" s="31" t="n"/>
      <c r="I57" s="31" t="n"/>
      <c r="J57" s="35" t="n">
        <v>8</v>
      </c>
      <c r="K57" s="35" t="n">
        <v>-14</v>
      </c>
      <c r="L57" s="31" t="n"/>
      <c r="M57" s="31" t="n"/>
      <c r="N57" s="34" t="n"/>
      <c r="O57" s="34" t="n"/>
      <c r="P57" s="31" t="n"/>
      <c r="Q57" s="36">
        <f>IF(A57="","",IFERROR(INDEX('Famílias'!$E:$E,MATCH(A57,'Famílias'!$A:$A,0)),"família não cadastrada"))</f>
        <v/>
      </c>
      <c r="R57" s="37" t="n"/>
      <c r="S57" s="37" t="n">
        <v>1041.5</v>
      </c>
      <c r="T57" s="37" t="n">
        <v>1098.5</v>
      </c>
      <c r="U57" s="37" t="n"/>
      <c r="V57" s="31" t="n"/>
      <c r="W57" s="31" t="inlineStr">
        <is>
          <t>8105 Cinza; 8106 Marrom; 8107 Verde</t>
        </is>
      </c>
    </row>
    <row r="58">
      <c r="A58" s="38" t="inlineStr">
        <is>
          <t>KODAK SOFTWEAR</t>
        </is>
      </c>
      <c r="B58" s="39" t="inlineStr">
        <is>
          <t>8604</t>
        </is>
      </c>
      <c r="C58" s="40" t="inlineStr">
        <is>
          <t>1.50</t>
        </is>
      </c>
      <c r="D58" s="38" t="inlineStr">
        <is>
          <t>Resina</t>
        </is>
      </c>
      <c r="E58" s="41" t="inlineStr">
        <is>
          <t>S</t>
        </is>
      </c>
      <c r="F58" s="41" t="n"/>
      <c r="G58" s="41" t="n"/>
      <c r="H58" s="38" t="n"/>
      <c r="I58" s="38" t="n"/>
      <c r="J58" s="42" t="n">
        <v>5</v>
      </c>
      <c r="K58" s="42" t="n">
        <v>-10</v>
      </c>
      <c r="L58" s="38" t="n"/>
      <c r="M58" s="38" t="n"/>
      <c r="N58" s="41" t="n"/>
      <c r="O58" s="41" t="n"/>
      <c r="P58" s="38" t="n"/>
      <c r="Q58" s="43">
        <f>IF(A58="","",IFERROR(INDEX('Famílias'!$E:$E,MATCH(A58,'Famílias'!$A:$A,0)),"família não cadastrada"))</f>
        <v/>
      </c>
      <c r="R58" s="44" t="n">
        <v>169</v>
      </c>
      <c r="S58" s="44" t="n"/>
      <c r="T58" s="44" t="n"/>
      <c r="U58" s="44" t="n"/>
      <c r="V58" s="38" t="n"/>
      <c r="W58" s="38" t="n"/>
    </row>
    <row r="59">
      <c r="A59" s="31" t="inlineStr">
        <is>
          <t>KODAK SOFTWEAR</t>
        </is>
      </c>
      <c r="B59" s="32" t="inlineStr">
        <is>
          <t>8605</t>
        </is>
      </c>
      <c r="C59" s="33" t="inlineStr">
        <is>
          <t>1.59</t>
        </is>
      </c>
      <c r="D59" s="31" t="inlineStr">
        <is>
          <t>Poly</t>
        </is>
      </c>
      <c r="E59" s="34" t="inlineStr">
        <is>
          <t>S</t>
        </is>
      </c>
      <c r="F59" s="34" t="n"/>
      <c r="G59" s="34" t="n"/>
      <c r="H59" s="31" t="n"/>
      <c r="I59" s="31" t="n"/>
      <c r="J59" s="35" t="n">
        <v>6</v>
      </c>
      <c r="K59" s="35" t="n">
        <v>-10</v>
      </c>
      <c r="L59" s="31" t="n"/>
      <c r="M59" s="31" t="n"/>
      <c r="N59" s="34" t="n"/>
      <c r="O59" s="34" t="n"/>
      <c r="P59" s="31" t="n"/>
      <c r="Q59" s="36">
        <f>IF(A59="","",IFERROR(INDEX('Famílias'!$E:$E,MATCH(A59,'Famílias'!$A:$A,0)),"família não cadastrada"))</f>
        <v/>
      </c>
      <c r="R59" s="37" t="n">
        <v>215</v>
      </c>
      <c r="S59" s="37" t="n"/>
      <c r="T59" s="37" t="n"/>
      <c r="U59" s="37" t="n"/>
      <c r="V59" s="31" t="n"/>
      <c r="W59" s="31" t="n"/>
    </row>
    <row r="60">
      <c r="A60" s="31" t="inlineStr">
        <is>
          <t>KODAK SOFTWEAR</t>
        </is>
      </c>
      <c r="B60" s="32" t="inlineStr">
        <is>
          <t>8606</t>
        </is>
      </c>
      <c r="C60" s="33" t="inlineStr">
        <is>
          <t>1.67</t>
        </is>
      </c>
      <c r="D60" s="31" t="inlineStr">
        <is>
          <t>Resina</t>
        </is>
      </c>
      <c r="E60" s="34" t="inlineStr">
        <is>
          <t>S</t>
        </is>
      </c>
      <c r="F60" s="34" t="n"/>
      <c r="G60" s="34" t="n"/>
      <c r="H60" s="31" t="n"/>
      <c r="I60" s="31" t="n"/>
      <c r="J60" s="35" t="n">
        <v>8</v>
      </c>
      <c r="K60" s="35" t="n">
        <v>-14</v>
      </c>
      <c r="L60" s="31" t="n"/>
      <c r="M60" s="31" t="n"/>
      <c r="N60" s="34" t="n"/>
      <c r="O60" s="34" t="n"/>
      <c r="P60" s="31" t="n"/>
      <c r="Q60" s="36">
        <f>IF(A60="","",IFERROR(INDEX('Famílias'!$E:$E,MATCH(A60,'Famílias'!$A:$A,0)),"família não cadastrada"))</f>
        <v/>
      </c>
      <c r="R60" s="37" t="n"/>
      <c r="S60" s="37" t="n">
        <v>691.5</v>
      </c>
      <c r="T60" s="37" t="n">
        <v>748.5</v>
      </c>
      <c r="U60" s="37" t="n"/>
      <c r="V60" s="31" t="n"/>
      <c r="W60" s="31" t="n"/>
    </row>
    <row r="61">
      <c r="A61" s="38" t="inlineStr">
        <is>
          <t>KODAK UNIQUE UHD</t>
        </is>
      </c>
      <c r="B61" s="39" t="inlineStr">
        <is>
          <t>8090</t>
        </is>
      </c>
      <c r="C61" s="40" t="inlineStr">
        <is>
          <t>1.50</t>
        </is>
      </c>
      <c r="D61" s="38" t="inlineStr">
        <is>
          <t>Resina</t>
        </is>
      </c>
      <c r="E61" s="41" t="n"/>
      <c r="F61" s="41" t="n"/>
      <c r="G61" s="41" t="n"/>
      <c r="H61" s="38" t="n"/>
      <c r="I61" s="38" t="n"/>
      <c r="J61" s="42" t="n">
        <v>5.25</v>
      </c>
      <c r="K61" s="42" t="n">
        <v>-10.25</v>
      </c>
      <c r="L61" s="38" t="n"/>
      <c r="M61" s="38" t="n"/>
      <c r="N61" s="41" t="n"/>
      <c r="O61" s="41" t="n"/>
      <c r="P61" s="38" t="n"/>
      <c r="Q61" s="43">
        <f>IF(A61="","",IFERROR(INDEX('Famílias'!$E:$E,MATCH(A61,'Famílias'!$A:$A,0)),"família não cadastrada"))</f>
        <v/>
      </c>
      <c r="R61" s="44" t="n">
        <v>265</v>
      </c>
      <c r="S61" s="44" t="n"/>
      <c r="T61" s="44" t="n"/>
      <c r="U61" s="44" t="n"/>
      <c r="V61" s="38" t="n"/>
      <c r="W61" s="38" t="n"/>
    </row>
    <row r="62">
      <c r="A62" s="31" t="inlineStr">
        <is>
          <t>KODAK UNIQUE UHD</t>
        </is>
      </c>
      <c r="B62" s="32" t="inlineStr">
        <is>
          <t>8091</t>
        </is>
      </c>
      <c r="C62" s="33" t="inlineStr">
        <is>
          <t>1.50</t>
        </is>
      </c>
      <c r="D62" s="31" t="inlineStr">
        <is>
          <t>Resina</t>
        </is>
      </c>
      <c r="E62" s="34" t="inlineStr">
        <is>
          <t>S</t>
        </is>
      </c>
      <c r="F62" s="34" t="n"/>
      <c r="G62" s="34" t="n"/>
      <c r="H62" s="31" t="n"/>
      <c r="I62" s="31" t="n"/>
      <c r="J62" s="35" t="n">
        <v>5.25</v>
      </c>
      <c r="K62" s="35" t="n">
        <v>-10.25</v>
      </c>
      <c r="L62" s="31" t="n"/>
      <c r="M62" s="31" t="n"/>
      <c r="N62" s="34" t="n"/>
      <c r="O62" s="34" t="n"/>
      <c r="P62" s="31" t="n"/>
      <c r="Q62" s="36">
        <f>IF(A62="","",IFERROR(INDEX('Famílias'!$E:$E,MATCH(A62,'Famílias'!$A:$A,0)),"família não cadastrada"))</f>
        <v/>
      </c>
      <c r="R62" s="37" t="n">
        <v>289</v>
      </c>
      <c r="S62" s="37" t="n"/>
      <c r="T62" s="37" t="n"/>
      <c r="U62" s="37" t="n"/>
      <c r="V62" s="31" t="n"/>
      <c r="W62" s="31" t="n"/>
    </row>
    <row r="63">
      <c r="A63" s="31" t="inlineStr">
        <is>
          <t>KODAK UNIQUE UHD</t>
        </is>
      </c>
      <c r="B63" s="32" t="n"/>
      <c r="C63" s="33" t="inlineStr">
        <is>
          <t>1.50</t>
        </is>
      </c>
      <c r="D63" s="31" t="inlineStr">
        <is>
          <t>Resina Transitions Gen S</t>
        </is>
      </c>
      <c r="E63" s="34" t="inlineStr">
        <is>
          <t>S</t>
        </is>
      </c>
      <c r="F63" s="34" t="n"/>
      <c r="G63" s="34" t="n"/>
      <c r="H63" s="31" t="n"/>
      <c r="I63" s="31" t="n"/>
      <c r="J63" s="35" t="n">
        <v>5.25</v>
      </c>
      <c r="K63" s="35" t="n">
        <v>-10.25</v>
      </c>
      <c r="L63" s="31" t="n"/>
      <c r="M63" s="31" t="n"/>
      <c r="N63" s="34" t="n"/>
      <c r="O63" s="34" t="n"/>
      <c r="P63" s="31" t="n"/>
      <c r="Q63" s="36">
        <f>IF(A63="","",IFERROR(INDEX('Famílias'!$E:$E,MATCH(A63,'Famílias'!$A:$A,0)),"família não cadastrada"))</f>
        <v/>
      </c>
      <c r="R63" s="37" t="n">
        <v>419</v>
      </c>
      <c r="S63" s="37" t="n"/>
      <c r="T63" s="37" t="n"/>
      <c r="U63" s="37" t="n"/>
      <c r="V63" s="31" t="n"/>
      <c r="W63" s="31" t="inlineStr">
        <is>
          <t>8092 Cinza; 86388 Marrom; 86389 Verde; 86391 Ametista; 86393 Safira; 86390 Âmbar; 86404 Esmeralda; 86392 Rubi</t>
        </is>
      </c>
    </row>
    <row r="64">
      <c r="A64" s="31" t="inlineStr">
        <is>
          <t>KODAK UNIQUE UHD</t>
        </is>
      </c>
      <c r="B64" s="32" t="inlineStr">
        <is>
          <t>86405</t>
        </is>
      </c>
      <c r="C64" s="33" t="inlineStr">
        <is>
          <t>1.50</t>
        </is>
      </c>
      <c r="D64" s="31" t="inlineStr">
        <is>
          <t>Resina Transitions XTRActive</t>
        </is>
      </c>
      <c r="E64" s="34" t="inlineStr">
        <is>
          <t>S</t>
        </is>
      </c>
      <c r="F64" s="34" t="n"/>
      <c r="G64" s="34" t="n"/>
      <c r="H64" s="31" t="n"/>
      <c r="I64" s="31" t="n"/>
      <c r="J64" s="35" t="n">
        <v>5.25</v>
      </c>
      <c r="K64" s="35" t="n">
        <v>-10.25</v>
      </c>
      <c r="L64" s="31" t="n"/>
      <c r="M64" s="31" t="n"/>
      <c r="N64" s="34" t="n"/>
      <c r="O64" s="34" t="n"/>
      <c r="P64" s="31" t="n"/>
      <c r="Q64" s="36">
        <f>IF(A64="","",IFERROR(INDEX('Famílias'!$E:$E,MATCH(A64,'Famílias'!$A:$A,0)),"família não cadastrada"))</f>
        <v/>
      </c>
      <c r="R64" s="37" t="n">
        <v>419</v>
      </c>
      <c r="S64" s="37" t="n"/>
      <c r="T64" s="37" t="n"/>
      <c r="U64" s="37" t="n"/>
      <c r="V64" s="31" t="n"/>
      <c r="W64" s="31" t="inlineStr">
        <is>
          <t>86405 Cinza</t>
        </is>
      </c>
    </row>
    <row r="65">
      <c r="A65" s="31" t="inlineStr">
        <is>
          <t>KODAK UNIQUE UHD</t>
        </is>
      </c>
      <c r="B65" s="32" t="inlineStr">
        <is>
          <t>8093</t>
        </is>
      </c>
      <c r="C65" s="33" t="inlineStr">
        <is>
          <t>1.59</t>
        </is>
      </c>
      <c r="D65" s="31" t="inlineStr">
        <is>
          <t>Poly</t>
        </is>
      </c>
      <c r="E65" s="34" t="inlineStr">
        <is>
          <t>S</t>
        </is>
      </c>
      <c r="F65" s="34" t="n"/>
      <c r="G65" s="34" t="n"/>
      <c r="H65" s="31" t="n"/>
      <c r="I65" s="31" t="n"/>
      <c r="J65" s="35" t="n">
        <v>6.5</v>
      </c>
      <c r="K65" s="35" t="n">
        <v>-11.75</v>
      </c>
      <c r="L65" s="31" t="n"/>
      <c r="M65" s="31" t="n"/>
      <c r="N65" s="34" t="n"/>
      <c r="O65" s="34" t="n"/>
      <c r="P65" s="31" t="n"/>
      <c r="Q65" s="36">
        <f>IF(A65="","",IFERROR(INDEX('Famílias'!$E:$E,MATCH(A65,'Famílias'!$A:$A,0)),"família não cadastrada"))</f>
        <v/>
      </c>
      <c r="R65" s="37" t="n">
        <v>319</v>
      </c>
      <c r="S65" s="37" t="n"/>
      <c r="T65" s="37" t="n"/>
      <c r="U65" s="37" t="n"/>
      <c r="V65" s="31" t="n"/>
      <c r="W65" s="31" t="n"/>
    </row>
    <row r="66">
      <c r="A66" s="31" t="inlineStr">
        <is>
          <t>KODAK UNIQUE UHD</t>
        </is>
      </c>
      <c r="B66" s="32" t="n"/>
      <c r="C66" s="33" t="inlineStr">
        <is>
          <t>1.59</t>
        </is>
      </c>
      <c r="D66" s="31" t="inlineStr">
        <is>
          <t>Poly Transitions Gen S</t>
        </is>
      </c>
      <c r="E66" s="34" t="inlineStr">
        <is>
          <t>S</t>
        </is>
      </c>
      <c r="F66" s="34" t="n"/>
      <c r="G66" s="34" t="n"/>
      <c r="H66" s="31" t="n"/>
      <c r="I66" s="31" t="n"/>
      <c r="J66" s="35" t="n">
        <v>6.5</v>
      </c>
      <c r="K66" s="35" t="n">
        <v>-11.75</v>
      </c>
      <c r="L66" s="31" t="n"/>
      <c r="M66" s="31" t="n"/>
      <c r="N66" s="34" t="n"/>
      <c r="O66" s="34" t="n"/>
      <c r="P66" s="31" t="n"/>
      <c r="Q66" s="36">
        <f>IF(A66="","",IFERROR(INDEX('Famílias'!$E:$E,MATCH(A66,'Famílias'!$A:$A,0)),"família não cadastrada"))</f>
        <v/>
      </c>
      <c r="R66" s="37" t="n">
        <v>469</v>
      </c>
      <c r="S66" s="37" t="n"/>
      <c r="T66" s="37" t="n"/>
      <c r="U66" s="37" t="n"/>
      <c r="V66" s="31" t="n"/>
      <c r="W66" s="31" t="inlineStr">
        <is>
          <t>8094 Cinza; 86394 Marrom; 86395 Verde; 86397 Ametista; 86398 Safira; 86396 Âmbar; 86400 Esmeralda; 86399 Rubi</t>
        </is>
      </c>
    </row>
    <row r="67">
      <c r="A67" s="31" t="inlineStr">
        <is>
          <t>KODAK UNIQUE UHD</t>
        </is>
      </c>
      <c r="B67" s="32" t="inlineStr">
        <is>
          <t>86401</t>
        </is>
      </c>
      <c r="C67" s="33" t="inlineStr">
        <is>
          <t>1.59</t>
        </is>
      </c>
      <c r="D67" s="31" t="inlineStr">
        <is>
          <t>Poly Transitions XTRActive</t>
        </is>
      </c>
      <c r="E67" s="34" t="inlineStr">
        <is>
          <t>S</t>
        </is>
      </c>
      <c r="F67" s="34" t="n"/>
      <c r="G67" s="34" t="n"/>
      <c r="H67" s="31" t="n"/>
      <c r="I67" s="31" t="n"/>
      <c r="J67" s="35" t="n">
        <v>6.5</v>
      </c>
      <c r="K67" s="35" t="n">
        <v>-11.75</v>
      </c>
      <c r="L67" s="31" t="n"/>
      <c r="M67" s="31" t="n"/>
      <c r="N67" s="34" t="n"/>
      <c r="O67" s="34" t="n"/>
      <c r="P67" s="31" t="n"/>
      <c r="Q67" s="36">
        <f>IF(A67="","",IFERROR(INDEX('Famílias'!$E:$E,MATCH(A67,'Famílias'!$A:$A,0)),"família não cadastrada"))</f>
        <v/>
      </c>
      <c r="R67" s="37" t="n">
        <v>545</v>
      </c>
      <c r="S67" s="37" t="n"/>
      <c r="T67" s="37" t="n"/>
      <c r="U67" s="37" t="n"/>
      <c r="V67" s="31" t="n"/>
      <c r="W67" s="31" t="inlineStr">
        <is>
          <t>86401 Cinza</t>
        </is>
      </c>
    </row>
    <row r="68">
      <c r="A68" s="31" t="inlineStr">
        <is>
          <t>KODAK UNIQUE UHD</t>
        </is>
      </c>
      <c r="B68" s="32" t="inlineStr">
        <is>
          <t>8095</t>
        </is>
      </c>
      <c r="C68" s="33" t="inlineStr">
        <is>
          <t>1.67</t>
        </is>
      </c>
      <c r="D68" s="31" t="inlineStr">
        <is>
          <t>Resina</t>
        </is>
      </c>
      <c r="E68" s="34" t="inlineStr">
        <is>
          <t>S</t>
        </is>
      </c>
      <c r="F68" s="34" t="n"/>
      <c r="G68" s="34" t="n"/>
      <c r="H68" s="31" t="n"/>
      <c r="I68" s="31" t="n"/>
      <c r="J68" s="35" t="n">
        <v>8</v>
      </c>
      <c r="K68" s="35" t="n">
        <v>-14</v>
      </c>
      <c r="L68" s="31" t="n"/>
      <c r="M68" s="31" t="n"/>
      <c r="N68" s="34" t="n"/>
      <c r="O68" s="34" t="n"/>
      <c r="P68" s="31" t="n"/>
      <c r="Q68" s="36">
        <f>IF(A68="","",IFERROR(INDEX('Famílias'!$E:$E,MATCH(A68,'Famílias'!$A:$A,0)),"família não cadastrada"))</f>
        <v/>
      </c>
      <c r="R68" s="37" t="n"/>
      <c r="S68" s="37" t="n">
        <v>797.5</v>
      </c>
      <c r="T68" s="37" t="n">
        <v>854.5</v>
      </c>
      <c r="U68" s="37" t="n"/>
      <c r="V68" s="31" t="n"/>
      <c r="W68" s="31" t="n"/>
    </row>
    <row r="69">
      <c r="A69" s="31" t="inlineStr">
        <is>
          <t>KODAK UNIQUE UHD</t>
        </is>
      </c>
      <c r="B69" s="32" t="n"/>
      <c r="C69" s="33" t="inlineStr">
        <is>
          <t>1.67</t>
        </is>
      </c>
      <c r="D69" s="31" t="inlineStr">
        <is>
          <t>Resina Transitions Gen S</t>
        </is>
      </c>
      <c r="E69" s="34" t="inlineStr">
        <is>
          <t>S</t>
        </is>
      </c>
      <c r="F69" s="34" t="n"/>
      <c r="G69" s="34" t="n"/>
      <c r="H69" s="31" t="n"/>
      <c r="I69" s="31" t="n"/>
      <c r="J69" s="35" t="n">
        <v>8</v>
      </c>
      <c r="K69" s="35" t="n">
        <v>-14</v>
      </c>
      <c r="L69" s="31" t="n"/>
      <c r="M69" s="31" t="n"/>
      <c r="N69" s="34" t="n"/>
      <c r="O69" s="34" t="n"/>
      <c r="P69" s="31" t="n"/>
      <c r="Q69" s="36">
        <f>IF(A69="","",IFERROR(INDEX('Famílias'!$E:$E,MATCH(A69,'Famílias'!$A:$A,0)),"família não cadastrada"))</f>
        <v/>
      </c>
      <c r="R69" s="37" t="n"/>
      <c r="S69" s="37" t="n">
        <v>1097.5</v>
      </c>
      <c r="T69" s="37" t="n">
        <v>1154.5</v>
      </c>
      <c r="U69" s="37" t="n"/>
      <c r="V69" s="31" t="n"/>
      <c r="W69" s="31" t="inlineStr">
        <is>
          <t>8096 Cinza; 8097 Marrom; 8098 Verde</t>
        </is>
      </c>
    </row>
    <row r="70">
      <c r="A70" s="38" t="inlineStr">
        <is>
          <t>KODAK UNIQUE INFINITE</t>
        </is>
      </c>
      <c r="B70" s="39" t="inlineStr">
        <is>
          <t>8638</t>
        </is>
      </c>
      <c r="C70" s="40" t="inlineStr">
        <is>
          <t>1.50</t>
        </is>
      </c>
      <c r="D70" s="38" t="inlineStr">
        <is>
          <t>Resina</t>
        </is>
      </c>
      <c r="E70" s="41" t="n"/>
      <c r="F70" s="41" t="n"/>
      <c r="G70" s="41" t="n"/>
      <c r="H70" s="38" t="n"/>
      <c r="I70" s="38" t="n"/>
      <c r="J70" s="42" t="n">
        <v>5.25</v>
      </c>
      <c r="K70" s="42" t="n">
        <v>-10</v>
      </c>
      <c r="L70" s="38" t="n"/>
      <c r="M70" s="38" t="n"/>
      <c r="N70" s="41" t="n"/>
      <c r="O70" s="41" t="n"/>
      <c r="P70" s="38" t="n"/>
      <c r="Q70" s="43">
        <f>IF(A70="","",IFERROR(INDEX('Famílias'!$E:$E,MATCH(A70,'Famílias'!$A:$A,0)),"família não cadastrada"))</f>
        <v/>
      </c>
      <c r="R70" s="44" t="n">
        <v>295</v>
      </c>
      <c r="S70" s="44" t="n"/>
      <c r="T70" s="44" t="n"/>
      <c r="U70" s="44" t="n"/>
      <c r="V70" s="38" t="n"/>
      <c r="W70" s="38" t="n"/>
    </row>
    <row r="71">
      <c r="A71" s="31" t="inlineStr">
        <is>
          <t>KODAK UNIQUE INFINITE</t>
        </is>
      </c>
      <c r="B71" s="32" t="inlineStr">
        <is>
          <t>86380</t>
        </is>
      </c>
      <c r="C71" s="33" t="inlineStr">
        <is>
          <t>1.50</t>
        </is>
      </c>
      <c r="D71" s="31" t="inlineStr">
        <is>
          <t>Resina</t>
        </is>
      </c>
      <c r="E71" s="34" t="inlineStr">
        <is>
          <t>S</t>
        </is>
      </c>
      <c r="F71" s="34" t="n"/>
      <c r="G71" s="34" t="n"/>
      <c r="H71" s="31" t="n"/>
      <c r="I71" s="31" t="n"/>
      <c r="J71" s="35" t="n">
        <v>5.25</v>
      </c>
      <c r="K71" s="35" t="n">
        <v>-10</v>
      </c>
      <c r="L71" s="31" t="n"/>
      <c r="M71" s="31" t="n"/>
      <c r="N71" s="34" t="n"/>
      <c r="O71" s="34" t="n"/>
      <c r="P71" s="31" t="n"/>
      <c r="Q71" s="36">
        <f>IF(A71="","",IFERROR(INDEX('Famílias'!$E:$E,MATCH(A71,'Famílias'!$A:$A,0)),"família não cadastrada"))</f>
        <v/>
      </c>
      <c r="R71" s="37" t="n">
        <v>315</v>
      </c>
      <c r="S71" s="37" t="n"/>
      <c r="T71" s="37" t="n"/>
      <c r="U71" s="37" t="n"/>
      <c r="V71" s="31" t="n"/>
      <c r="W71" s="31" t="n"/>
    </row>
    <row r="72">
      <c r="A72" s="31" t="inlineStr">
        <is>
          <t>KODAK UNIQUE INFINITE</t>
        </is>
      </c>
      <c r="B72" s="32" t="n"/>
      <c r="C72" s="33" t="inlineStr">
        <is>
          <t>1.50</t>
        </is>
      </c>
      <c r="D72" s="31" t="inlineStr">
        <is>
          <t>Resina Transitions Gen S</t>
        </is>
      </c>
      <c r="E72" s="34" t="inlineStr">
        <is>
          <t>S</t>
        </is>
      </c>
      <c r="F72" s="34" t="n"/>
      <c r="G72" s="34" t="n"/>
      <c r="H72" s="31" t="n"/>
      <c r="I72" s="31" t="n"/>
      <c r="J72" s="35" t="n">
        <v>5.25</v>
      </c>
      <c r="K72" s="35" t="n">
        <v>-10</v>
      </c>
      <c r="L72" s="31" t="n"/>
      <c r="M72" s="31" t="n"/>
      <c r="N72" s="34" t="n"/>
      <c r="O72" s="34" t="n"/>
      <c r="P72" s="31" t="n"/>
      <c r="Q72" s="36">
        <f>IF(A72="","",IFERROR(INDEX('Famílias'!$E:$E,MATCH(A72,'Famílias'!$A:$A,0)),"família não cadastrada"))</f>
        <v/>
      </c>
      <c r="R72" s="37" t="n">
        <v>465</v>
      </c>
      <c r="S72" s="37" t="n"/>
      <c r="T72" s="37" t="n"/>
      <c r="U72" s="37" t="n"/>
      <c r="V72" s="31" t="n"/>
      <c r="W72" s="31" t="inlineStr">
        <is>
          <t>8639 Cinza; 8640 Marrom; 8641 Verde; 86382 Ametista; 86383 Safira; 86381 Âmbar; 86385 Esmeralda; 86384 Rubi</t>
        </is>
      </c>
    </row>
    <row r="73">
      <c r="A73" s="31" t="inlineStr">
        <is>
          <t>KODAK UNIQUE INFINITE</t>
        </is>
      </c>
      <c r="B73" s="32" t="inlineStr">
        <is>
          <t>8642</t>
        </is>
      </c>
      <c r="C73" s="33" t="inlineStr">
        <is>
          <t>1.50</t>
        </is>
      </c>
      <c r="D73" s="31" t="inlineStr">
        <is>
          <t>Resina Transitions XTRActive</t>
        </is>
      </c>
      <c r="E73" s="34" t="inlineStr">
        <is>
          <t>S</t>
        </is>
      </c>
      <c r="F73" s="34" t="n"/>
      <c r="G73" s="34" t="n"/>
      <c r="H73" s="31" t="n"/>
      <c r="I73" s="31" t="n"/>
      <c r="J73" s="35" t="n">
        <v>5.25</v>
      </c>
      <c r="K73" s="35" t="n">
        <v>-10</v>
      </c>
      <c r="L73" s="31" t="n"/>
      <c r="M73" s="31" t="n"/>
      <c r="N73" s="34" t="n"/>
      <c r="O73" s="34" t="n"/>
      <c r="P73" s="31" t="n"/>
      <c r="Q73" s="36">
        <f>IF(A73="","",IFERROR(INDEX('Famílias'!$E:$E,MATCH(A73,'Famílias'!$A:$A,0)),"família não cadastrada"))</f>
        <v/>
      </c>
      <c r="R73" s="37" t="n">
        <v>579</v>
      </c>
      <c r="S73" s="37" t="n"/>
      <c r="T73" s="37" t="n"/>
      <c r="U73" s="37" t="n"/>
      <c r="V73" s="31" t="n"/>
      <c r="W73" s="31" t="inlineStr">
        <is>
          <t>8642 Cinza</t>
        </is>
      </c>
    </row>
    <row r="74">
      <c r="A74" s="31" t="inlineStr">
        <is>
          <t>KODAK UNIQUE INFINITE</t>
        </is>
      </c>
      <c r="B74" s="32" t="inlineStr">
        <is>
          <t>8643</t>
        </is>
      </c>
      <c r="C74" s="33" t="inlineStr">
        <is>
          <t>1.59</t>
        </is>
      </c>
      <c r="D74" s="31" t="inlineStr">
        <is>
          <t>Poly</t>
        </is>
      </c>
      <c r="E74" s="34" t="inlineStr">
        <is>
          <t>S</t>
        </is>
      </c>
      <c r="F74" s="34" t="n"/>
      <c r="G74" s="34" t="n"/>
      <c r="H74" s="31" t="n"/>
      <c r="I74" s="31" t="n"/>
      <c r="J74" s="35" t="n">
        <v>6.5</v>
      </c>
      <c r="K74" s="35" t="n">
        <v>-10</v>
      </c>
      <c r="L74" s="31" t="n"/>
      <c r="M74" s="31" t="n"/>
      <c r="N74" s="34" t="n"/>
      <c r="O74" s="34" t="n"/>
      <c r="P74" s="31" t="n"/>
      <c r="Q74" s="36">
        <f>IF(A74="","",IFERROR(INDEX('Famílias'!$E:$E,MATCH(A74,'Famílias'!$A:$A,0)),"família não cadastrada"))</f>
        <v/>
      </c>
      <c r="R74" s="37" t="n">
        <v>355</v>
      </c>
      <c r="S74" s="37" t="n"/>
      <c r="T74" s="37" t="n"/>
      <c r="U74" s="37" t="n"/>
      <c r="V74" s="31" t="n"/>
      <c r="W74" s="31" t="n"/>
    </row>
    <row r="75">
      <c r="A75" s="31" t="inlineStr">
        <is>
          <t>KODAK UNIQUE INFINITE</t>
        </is>
      </c>
      <c r="B75" s="32" t="n"/>
      <c r="C75" s="33" t="inlineStr">
        <is>
          <t>1.59</t>
        </is>
      </c>
      <c r="D75" s="31" t="inlineStr">
        <is>
          <t>Poly Transitions Gen S</t>
        </is>
      </c>
      <c r="E75" s="34" t="inlineStr">
        <is>
          <t>S</t>
        </is>
      </c>
      <c r="F75" s="34" t="n"/>
      <c r="G75" s="34" t="n"/>
      <c r="H75" s="31" t="n"/>
      <c r="I75" s="31" t="n"/>
      <c r="J75" s="35" t="n">
        <v>6.5</v>
      </c>
      <c r="K75" s="35" t="n">
        <v>-10</v>
      </c>
      <c r="L75" s="31" t="n"/>
      <c r="M75" s="31" t="n"/>
      <c r="N75" s="34" t="n"/>
      <c r="O75" s="34" t="n"/>
      <c r="P75" s="31" t="n"/>
      <c r="Q75" s="36">
        <f>IF(A75="","",IFERROR(INDEX('Famílias'!$E:$E,MATCH(A75,'Famílias'!$A:$A,0)),"família não cadastrada"))</f>
        <v/>
      </c>
      <c r="R75" s="37" t="n">
        <v>525</v>
      </c>
      <c r="S75" s="37" t="n"/>
      <c r="T75" s="37" t="n"/>
      <c r="U75" s="37" t="n"/>
      <c r="V75" s="31" t="n"/>
      <c r="W75" s="31" t="inlineStr">
        <is>
          <t>8644 Cinza; 8645 Marrom; 8646 Verde; 8648 Ametista; 8649 Safira; 8647 Âmbar; 8651 Esmeralda; 8650 Rubi</t>
        </is>
      </c>
    </row>
    <row r="76">
      <c r="A76" s="31" t="inlineStr">
        <is>
          <t>KODAK UNIQUE INFINITE</t>
        </is>
      </c>
      <c r="B76" s="32" t="inlineStr">
        <is>
          <t>8652</t>
        </is>
      </c>
      <c r="C76" s="33" t="inlineStr">
        <is>
          <t>1.59</t>
        </is>
      </c>
      <c r="D76" s="31" t="inlineStr">
        <is>
          <t>Poly Transitions XTRActive</t>
        </is>
      </c>
      <c r="E76" s="34" t="inlineStr">
        <is>
          <t>S</t>
        </is>
      </c>
      <c r="F76" s="34" t="n"/>
      <c r="G76" s="34" t="n"/>
      <c r="H76" s="31" t="n"/>
      <c r="I76" s="31" t="n"/>
      <c r="J76" s="35" t="n">
        <v>6.5</v>
      </c>
      <c r="K76" s="35" t="n">
        <v>-10</v>
      </c>
      <c r="L76" s="31" t="n"/>
      <c r="M76" s="31" t="n"/>
      <c r="N76" s="34" t="n"/>
      <c r="O76" s="34" t="n"/>
      <c r="P76" s="31" t="n"/>
      <c r="Q76" s="36">
        <f>IF(A76="","",IFERROR(INDEX('Famílias'!$E:$E,MATCH(A76,'Famílias'!$A:$A,0)),"família não cadastrada"))</f>
        <v/>
      </c>
      <c r="R76" s="37" t="n">
        <v>639</v>
      </c>
      <c r="S76" s="37" t="n"/>
      <c r="T76" s="37" t="n"/>
      <c r="U76" s="37" t="n"/>
      <c r="V76" s="31" t="n"/>
      <c r="W76" s="31" t="inlineStr">
        <is>
          <t>8652 Cinza</t>
        </is>
      </c>
    </row>
    <row r="77">
      <c r="A77" s="31" t="inlineStr">
        <is>
          <t>KODAK UNIQUE INFINITE</t>
        </is>
      </c>
      <c r="B77" s="32" t="inlineStr">
        <is>
          <t>8653</t>
        </is>
      </c>
      <c r="C77" s="33" t="inlineStr">
        <is>
          <t>1.67</t>
        </is>
      </c>
      <c r="D77" s="31" t="inlineStr">
        <is>
          <t>Resina</t>
        </is>
      </c>
      <c r="E77" s="34" t="inlineStr">
        <is>
          <t>S</t>
        </is>
      </c>
      <c r="F77" s="34" t="n"/>
      <c r="G77" s="34" t="n"/>
      <c r="H77" s="31" t="n"/>
      <c r="I77" s="31" t="n"/>
      <c r="J77" s="35" t="n">
        <v>8</v>
      </c>
      <c r="K77" s="35" t="n">
        <v>-14</v>
      </c>
      <c r="L77" s="31" t="n"/>
      <c r="M77" s="31" t="n"/>
      <c r="N77" s="34" t="n"/>
      <c r="O77" s="34" t="n"/>
      <c r="P77" s="31" t="n"/>
      <c r="Q77" s="36">
        <f>IF(A77="","",IFERROR(INDEX('Famílias'!$E:$E,MATCH(A77,'Famílias'!$A:$A,0)),"família não cadastrada"))</f>
        <v/>
      </c>
      <c r="R77" s="37" t="n"/>
      <c r="S77" s="37" t="n">
        <v>831.5</v>
      </c>
      <c r="T77" s="37" t="n">
        <v>888.5</v>
      </c>
      <c r="U77" s="37" t="n"/>
      <c r="V77" s="31" t="n"/>
      <c r="W77" s="31" t="n"/>
    </row>
    <row r="78">
      <c r="A78" s="31" t="inlineStr">
        <is>
          <t>KODAK UNIQUE INFINITE</t>
        </is>
      </c>
      <c r="B78" s="32" t="n"/>
      <c r="C78" s="33" t="inlineStr">
        <is>
          <t>1.67</t>
        </is>
      </c>
      <c r="D78" s="31" t="inlineStr">
        <is>
          <t>Resina Transitions Gen S</t>
        </is>
      </c>
      <c r="E78" s="34" t="inlineStr">
        <is>
          <t>S</t>
        </is>
      </c>
      <c r="F78" s="34" t="n"/>
      <c r="G78" s="34" t="n"/>
      <c r="H78" s="31" t="n"/>
      <c r="I78" s="31" t="n"/>
      <c r="J78" s="35" t="n">
        <v>8</v>
      </c>
      <c r="K78" s="35" t="n">
        <v>-14</v>
      </c>
      <c r="L78" s="31" t="n"/>
      <c r="M78" s="31" t="n"/>
      <c r="N78" s="34" t="n"/>
      <c r="O78" s="34" t="n"/>
      <c r="P78" s="31" t="n"/>
      <c r="Q78" s="36">
        <f>IF(A78="","",IFERROR(INDEX('Famílias'!$E:$E,MATCH(A78,'Famílias'!$A:$A,0)),"família não cadastrada"))</f>
        <v/>
      </c>
      <c r="R78" s="37" t="n"/>
      <c r="S78" s="37" t="n">
        <v>1147.5</v>
      </c>
      <c r="T78" s="37" t="n">
        <v>1204.5</v>
      </c>
      <c r="U78" s="37" t="n"/>
      <c r="V78" s="31" t="n"/>
      <c r="W78" s="31" t="inlineStr">
        <is>
          <t>8654 Cinza; 8655 Marrom; 8656 Verde</t>
        </is>
      </c>
    </row>
    <row r="79">
      <c r="A79" s="38" t="inlineStr">
        <is>
          <t>KODAK SINGLE</t>
        </is>
      </c>
      <c r="B79" s="39" t="inlineStr">
        <is>
          <t>8607</t>
        </is>
      </c>
      <c r="C79" s="40" t="inlineStr">
        <is>
          <t>1.50</t>
        </is>
      </c>
      <c r="D79" s="38" t="inlineStr">
        <is>
          <t>Resina</t>
        </is>
      </c>
      <c r="E79" s="41" t="n"/>
      <c r="F79" s="41" t="n"/>
      <c r="G79" s="41" t="n"/>
      <c r="H79" s="38" t="n"/>
      <c r="I79" s="38" t="n"/>
      <c r="J79" s="42" t="n">
        <v>6</v>
      </c>
      <c r="K79" s="42" t="n">
        <v>-10</v>
      </c>
      <c r="L79" s="38" t="n"/>
      <c r="M79" s="38" t="n"/>
      <c r="N79" s="41" t="n"/>
      <c r="O79" s="41" t="n"/>
      <c r="P79" s="38" t="n"/>
      <c r="Q79" s="43">
        <f>IF(A79="","",IFERROR(INDEX('Famílias'!$E:$E,MATCH(A79,'Famílias'!$A:$A,0)),"família não cadastrada"))</f>
        <v/>
      </c>
      <c r="R79" s="44" t="n">
        <v>129</v>
      </c>
      <c r="S79" s="44" t="n"/>
      <c r="T79" s="44" t="n"/>
      <c r="U79" s="44" t="n"/>
      <c r="V79" s="38" t="n"/>
      <c r="W79" s="38" t="n"/>
    </row>
    <row r="80">
      <c r="A80" s="31" t="inlineStr">
        <is>
          <t>KODAK SINGLE</t>
        </is>
      </c>
      <c r="B80" s="32" t="inlineStr">
        <is>
          <t>8608</t>
        </is>
      </c>
      <c r="C80" s="33" t="inlineStr">
        <is>
          <t>1.50</t>
        </is>
      </c>
      <c r="D80" s="31" t="inlineStr">
        <is>
          <t>Resina</t>
        </is>
      </c>
      <c r="E80" s="34" t="inlineStr">
        <is>
          <t>S</t>
        </is>
      </c>
      <c r="F80" s="34" t="n"/>
      <c r="G80" s="34" t="n"/>
      <c r="H80" s="31" t="n"/>
      <c r="I80" s="31" t="n"/>
      <c r="J80" s="35" t="n">
        <v>6</v>
      </c>
      <c r="K80" s="35" t="n">
        <v>-10</v>
      </c>
      <c r="L80" s="31" t="n"/>
      <c r="M80" s="31" t="n"/>
      <c r="N80" s="34" t="n"/>
      <c r="O80" s="34" t="n"/>
      <c r="P80" s="31" t="n"/>
      <c r="Q80" s="36">
        <f>IF(A80="","",IFERROR(INDEX('Famílias'!$E:$E,MATCH(A80,'Famílias'!$A:$A,0)),"família não cadastrada"))</f>
        <v/>
      </c>
      <c r="R80" s="37" t="n">
        <v>139</v>
      </c>
      <c r="S80" s="37" t="n"/>
      <c r="T80" s="37" t="n"/>
      <c r="U80" s="37" t="n"/>
      <c r="V80" s="31" t="n"/>
      <c r="W80" s="31" t="n"/>
    </row>
    <row r="81">
      <c r="A81" s="31" t="inlineStr">
        <is>
          <t>KODAK SINGLE</t>
        </is>
      </c>
      <c r="B81" s="32" t="n"/>
      <c r="C81" s="33" t="inlineStr">
        <is>
          <t>1.50</t>
        </is>
      </c>
      <c r="D81" s="31" t="inlineStr">
        <is>
          <t>Resina Transitions Gen S</t>
        </is>
      </c>
      <c r="E81" s="34" t="inlineStr">
        <is>
          <t>S</t>
        </is>
      </c>
      <c r="F81" s="34" t="n"/>
      <c r="G81" s="34" t="n"/>
      <c r="H81" s="31" t="n"/>
      <c r="I81" s="31" t="n"/>
      <c r="J81" s="35" t="n">
        <v>6</v>
      </c>
      <c r="K81" s="35" t="n">
        <v>-10</v>
      </c>
      <c r="L81" s="31" t="n"/>
      <c r="M81" s="31" t="n"/>
      <c r="N81" s="34" t="n"/>
      <c r="O81" s="34" t="n"/>
      <c r="P81" s="31" t="n"/>
      <c r="Q81" s="36">
        <f>IF(A81="","",IFERROR(INDEX('Famílias'!$E:$E,MATCH(A81,'Famílias'!$A:$A,0)),"família não cadastrada"))</f>
        <v/>
      </c>
      <c r="R81" s="37" t="n">
        <v>265</v>
      </c>
      <c r="S81" s="37" t="n"/>
      <c r="T81" s="37" t="n"/>
      <c r="U81" s="37" t="n"/>
      <c r="V81" s="31" t="n"/>
      <c r="W81" s="31" t="inlineStr">
        <is>
          <t>8609 Cinza; 8610 Marrom; 8611 Verde; 8613 Ametista; 8614 Safira; 8612 Âmbar; 86423 Esmeralda; 86422 Rubi</t>
        </is>
      </c>
    </row>
    <row r="82">
      <c r="A82" s="31" t="inlineStr">
        <is>
          <t>KODAK SINGLE</t>
        </is>
      </c>
      <c r="B82" s="32" t="inlineStr">
        <is>
          <t>8615</t>
        </is>
      </c>
      <c r="C82" s="33" t="inlineStr">
        <is>
          <t>1.50</t>
        </is>
      </c>
      <c r="D82" s="31" t="inlineStr">
        <is>
          <t>Resina Transitions XTRActive</t>
        </is>
      </c>
      <c r="E82" s="34" t="inlineStr">
        <is>
          <t>S</t>
        </is>
      </c>
      <c r="F82" s="34" t="n"/>
      <c r="G82" s="34" t="n"/>
      <c r="H82" s="31" t="n"/>
      <c r="I82" s="31" t="n"/>
      <c r="J82" s="35" t="n">
        <v>6</v>
      </c>
      <c r="K82" s="35" t="n">
        <v>-10</v>
      </c>
      <c r="L82" s="31" t="n"/>
      <c r="M82" s="31" t="n"/>
      <c r="N82" s="34" t="n"/>
      <c r="O82" s="34" t="n"/>
      <c r="P82" s="31" t="n"/>
      <c r="Q82" s="36">
        <f>IF(A82="","",IFERROR(INDEX('Famílias'!$E:$E,MATCH(A82,'Famílias'!$A:$A,0)),"família não cadastrada"))</f>
        <v/>
      </c>
      <c r="R82" s="37" t="n">
        <v>335</v>
      </c>
      <c r="S82" s="37" t="n"/>
      <c r="T82" s="37" t="n"/>
      <c r="U82" s="37" t="n"/>
      <c r="V82" s="31" t="n"/>
      <c r="W82" s="31" t="inlineStr">
        <is>
          <t>8615 Cinza</t>
        </is>
      </c>
    </row>
    <row r="83">
      <c r="A83" s="31" t="inlineStr">
        <is>
          <t>KODAK SINGLE</t>
        </is>
      </c>
      <c r="B83" s="32" t="inlineStr">
        <is>
          <t>8616</t>
        </is>
      </c>
      <c r="C83" s="33" t="inlineStr">
        <is>
          <t>1.59</t>
        </is>
      </c>
      <c r="D83" s="31" t="inlineStr">
        <is>
          <t>Poly</t>
        </is>
      </c>
      <c r="E83" s="34" t="inlineStr">
        <is>
          <t>S</t>
        </is>
      </c>
      <c r="F83" s="34" t="n"/>
      <c r="G83" s="34" t="n"/>
      <c r="H83" s="31" t="n"/>
      <c r="I83" s="31" t="n"/>
      <c r="J83" s="35" t="n">
        <v>6</v>
      </c>
      <c r="K83" s="35" t="n">
        <v>-10</v>
      </c>
      <c r="L83" s="31" t="n"/>
      <c r="M83" s="31" t="n"/>
      <c r="N83" s="34" t="n"/>
      <c r="O83" s="34" t="n"/>
      <c r="P83" s="31" t="n"/>
      <c r="Q83" s="36">
        <f>IF(A83="","",IFERROR(INDEX('Famílias'!$E:$E,MATCH(A83,'Famílias'!$A:$A,0)),"família não cadastrada"))</f>
        <v/>
      </c>
      <c r="R83" s="37" t="n">
        <v>199</v>
      </c>
      <c r="S83" s="37" t="n"/>
      <c r="T83" s="37" t="n"/>
      <c r="U83" s="37" t="n"/>
      <c r="V83" s="31" t="n"/>
      <c r="W83" s="31" t="n"/>
    </row>
    <row r="84">
      <c r="A84" s="31" t="inlineStr">
        <is>
          <t>KODAK SINGLE</t>
        </is>
      </c>
      <c r="B84" s="32" t="n"/>
      <c r="C84" s="33" t="inlineStr">
        <is>
          <t>1.59</t>
        </is>
      </c>
      <c r="D84" s="31" t="inlineStr">
        <is>
          <t>Poly Transitions Gen S</t>
        </is>
      </c>
      <c r="E84" s="34" t="inlineStr">
        <is>
          <t>S</t>
        </is>
      </c>
      <c r="F84" s="34" t="n"/>
      <c r="G84" s="34" t="n"/>
      <c r="H84" s="31" t="n"/>
      <c r="I84" s="31" t="n"/>
      <c r="J84" s="35" t="n">
        <v>6</v>
      </c>
      <c r="K84" s="35" t="n">
        <v>-10</v>
      </c>
      <c r="L84" s="31" t="n"/>
      <c r="M84" s="31" t="n"/>
      <c r="N84" s="34" t="n"/>
      <c r="O84" s="34" t="n"/>
      <c r="P84" s="31" t="n"/>
      <c r="Q84" s="36">
        <f>IF(A84="","",IFERROR(INDEX('Famílias'!$E:$E,MATCH(A84,'Famílias'!$A:$A,0)),"família não cadastrada"))</f>
        <v/>
      </c>
      <c r="R84" s="37" t="n">
        <v>359</v>
      </c>
      <c r="S84" s="37" t="n"/>
      <c r="T84" s="37" t="n"/>
      <c r="U84" s="37" t="n"/>
      <c r="V84" s="31" t="n"/>
      <c r="W84" s="31" t="inlineStr">
        <is>
          <t>8617 Cinza; 8618 Marrom; 8619 Verde; 8621 Ametista; 8622 Safira; 8620 Âmbar; 86424 Esmeralda; 10195 Rubi</t>
        </is>
      </c>
    </row>
    <row r="85">
      <c r="A85" s="31" t="inlineStr">
        <is>
          <t>KODAK SINGLE</t>
        </is>
      </c>
      <c r="B85" s="32" t="inlineStr">
        <is>
          <t>8623</t>
        </is>
      </c>
      <c r="C85" s="33" t="inlineStr">
        <is>
          <t>1.59</t>
        </is>
      </c>
      <c r="D85" s="31" t="inlineStr">
        <is>
          <t>Poly Transitions XTRActive</t>
        </is>
      </c>
      <c r="E85" s="34" t="inlineStr">
        <is>
          <t>S</t>
        </is>
      </c>
      <c r="F85" s="34" t="n"/>
      <c r="G85" s="34" t="n"/>
      <c r="H85" s="31" t="n"/>
      <c r="I85" s="31" t="n"/>
      <c r="J85" s="35" t="n">
        <v>6</v>
      </c>
      <c r="K85" s="35" t="n">
        <v>-10</v>
      </c>
      <c r="L85" s="31" t="n"/>
      <c r="M85" s="31" t="n"/>
      <c r="N85" s="34" t="n"/>
      <c r="O85" s="34" t="n"/>
      <c r="P85" s="31" t="n"/>
      <c r="Q85" s="36">
        <f>IF(A85="","",IFERROR(INDEX('Famílias'!$E:$E,MATCH(A85,'Famílias'!$A:$A,0)),"família não cadastrada"))</f>
        <v/>
      </c>
      <c r="R85" s="37" t="n">
        <v>435</v>
      </c>
      <c r="S85" s="37" t="n"/>
      <c r="T85" s="37" t="n"/>
      <c r="U85" s="37" t="n"/>
      <c r="V85" s="31" t="n"/>
      <c r="W85" s="31" t="inlineStr">
        <is>
          <t>8623 Cinza</t>
        </is>
      </c>
    </row>
    <row r="86">
      <c r="A86" s="31" t="inlineStr">
        <is>
          <t>KODAK SINGLE</t>
        </is>
      </c>
      <c r="B86" s="32" t="inlineStr">
        <is>
          <t>8624</t>
        </is>
      </c>
      <c r="C86" s="33" t="inlineStr">
        <is>
          <t>1.67</t>
        </is>
      </c>
      <c r="D86" s="31" t="inlineStr">
        <is>
          <t>Resina</t>
        </is>
      </c>
      <c r="E86" s="34" t="inlineStr">
        <is>
          <t>S</t>
        </is>
      </c>
      <c r="F86" s="34" t="n"/>
      <c r="G86" s="34" t="n"/>
      <c r="H86" s="31" t="n"/>
      <c r="I86" s="31" t="n"/>
      <c r="J86" s="35" t="n">
        <v>8</v>
      </c>
      <c r="K86" s="35" t="n">
        <v>-14</v>
      </c>
      <c r="L86" s="31" t="n"/>
      <c r="M86" s="31" t="n"/>
      <c r="N86" s="34" t="n"/>
      <c r="O86" s="34" t="n"/>
      <c r="P86" s="31" t="n"/>
      <c r="Q86" s="36">
        <f>IF(A86="","",IFERROR(INDEX('Famílias'!$E:$E,MATCH(A86,'Famílias'!$A:$A,0)),"família não cadastrada"))</f>
        <v/>
      </c>
      <c r="R86" s="37" t="n"/>
      <c r="S86" s="37" t="n">
        <v>677.5</v>
      </c>
      <c r="T86" s="37" t="n">
        <v>734.5</v>
      </c>
      <c r="U86" s="37" t="n"/>
      <c r="V86" s="31" t="n"/>
      <c r="W86" s="31" t="n"/>
    </row>
    <row r="87">
      <c r="A87" s="31" t="inlineStr">
        <is>
          <t>KODAK SINGLE</t>
        </is>
      </c>
      <c r="B87" s="32" t="n"/>
      <c r="C87" s="33" t="inlineStr">
        <is>
          <t>1.67</t>
        </is>
      </c>
      <c r="D87" s="31" t="inlineStr">
        <is>
          <t>Resina Transitions Gen S</t>
        </is>
      </c>
      <c r="E87" s="34" t="inlineStr">
        <is>
          <t>S</t>
        </is>
      </c>
      <c r="F87" s="34" t="n"/>
      <c r="G87" s="34" t="n"/>
      <c r="H87" s="31" t="n"/>
      <c r="I87" s="31" t="n"/>
      <c r="J87" s="35" t="n">
        <v>8</v>
      </c>
      <c r="K87" s="35" t="n">
        <v>-14</v>
      </c>
      <c r="L87" s="31" t="n"/>
      <c r="M87" s="31" t="n"/>
      <c r="N87" s="34" t="n"/>
      <c r="O87" s="34" t="n"/>
      <c r="P87" s="31" t="n"/>
      <c r="Q87" s="36">
        <f>IF(A87="","",IFERROR(INDEX('Famílias'!$E:$E,MATCH(A87,'Famílias'!$A:$A,0)),"família não cadastrada"))</f>
        <v/>
      </c>
      <c r="R87" s="37" t="n"/>
      <c r="S87" s="37" t="n">
        <v>987.5</v>
      </c>
      <c r="T87" s="37" t="n">
        <v>1044.5</v>
      </c>
      <c r="U87" s="37" t="n"/>
      <c r="V87" s="31" t="n"/>
      <c r="W87" s="31" t="inlineStr">
        <is>
          <t>8625 Cinza; 8626 Marrom; 8627 Verde</t>
        </is>
      </c>
    </row>
    <row r="88">
      <c r="A88" s="38" t="inlineStr">
        <is>
          <t>ESSILOR SURFAÇADAS</t>
        </is>
      </c>
      <c r="B88" s="39" t="inlineStr">
        <is>
          <t>8313</t>
        </is>
      </c>
      <c r="C88" s="40" t="inlineStr">
        <is>
          <t>1.50</t>
        </is>
      </c>
      <c r="D88" s="38" t="inlineStr">
        <is>
          <t>Orma</t>
        </is>
      </c>
      <c r="E88" s="41" t="n"/>
      <c r="F88" s="41" t="n"/>
      <c r="G88" s="41" t="n"/>
      <c r="H88" s="38" t="n"/>
      <c r="I88" s="38" t="n"/>
      <c r="J88" s="42" t="n">
        <v>7.5</v>
      </c>
      <c r="K88" s="42" t="n">
        <v>-10</v>
      </c>
      <c r="L88" s="38" t="n"/>
      <c r="M88" s="38" t="n"/>
      <c r="N88" s="41" t="n"/>
      <c r="O88" s="41" t="n"/>
      <c r="P88" s="38" t="n"/>
      <c r="Q88" s="43">
        <f>IF(A88="","",IFERROR(INDEX('Famílias'!$E:$E,MATCH(A88,'Famílias'!$A:$A,0)),"família não cadastrada"))</f>
        <v/>
      </c>
      <c r="R88" s="44" t="n">
        <v>75.90000000000001</v>
      </c>
      <c r="S88" s="44" t="n"/>
      <c r="T88" s="44" t="n"/>
      <c r="U88" s="44" t="n"/>
      <c r="V88" s="38" t="n"/>
      <c r="W88" s="38" t="n"/>
    </row>
    <row r="89">
      <c r="A89" s="31" t="inlineStr">
        <is>
          <t>ESSILOR SURFAÇADAS</t>
        </is>
      </c>
      <c r="B89" s="32" t="inlineStr">
        <is>
          <t>8314</t>
        </is>
      </c>
      <c r="C89" s="33" t="inlineStr">
        <is>
          <t>1.50</t>
        </is>
      </c>
      <c r="D89" s="31" t="inlineStr">
        <is>
          <t>Orma</t>
        </is>
      </c>
      <c r="E89" s="34" t="inlineStr">
        <is>
          <t>S</t>
        </is>
      </c>
      <c r="F89" s="34" t="n"/>
      <c r="G89" s="34" t="n"/>
      <c r="H89" s="31" t="n"/>
      <c r="I89" s="31" t="n"/>
      <c r="J89" s="35" t="n">
        <v>6.5</v>
      </c>
      <c r="K89" s="35" t="n">
        <v>-10</v>
      </c>
      <c r="L89" s="31" t="n"/>
      <c r="M89" s="31" t="n"/>
      <c r="N89" s="34" t="n"/>
      <c r="O89" s="34" t="n"/>
      <c r="P89" s="31" t="n"/>
      <c r="Q89" s="36">
        <f>IF(A89="","",IFERROR(INDEX('Famílias'!$E:$E,MATCH(A89,'Famílias'!$A:$A,0)),"família não cadastrada"))</f>
        <v/>
      </c>
      <c r="R89" s="37" t="n">
        <v>104.9</v>
      </c>
      <c r="S89" s="37" t="n"/>
      <c r="T89" s="37" t="n"/>
      <c r="U89" s="37" t="n"/>
      <c r="V89" s="31" t="n"/>
      <c r="W89" s="31" t="n"/>
    </row>
    <row r="90">
      <c r="A90" s="31" t="inlineStr">
        <is>
          <t>ESSILOR SURFAÇADAS</t>
        </is>
      </c>
      <c r="B90" s="32" t="n"/>
      <c r="C90" s="33" t="inlineStr">
        <is>
          <t>1.50</t>
        </is>
      </c>
      <c r="D90" s="31" t="inlineStr">
        <is>
          <t>Orma Transitions Gen S</t>
        </is>
      </c>
      <c r="E90" s="34" t="inlineStr">
        <is>
          <t>S</t>
        </is>
      </c>
      <c r="F90" s="34" t="n"/>
      <c r="G90" s="34" t="n"/>
      <c r="H90" s="31" t="n"/>
      <c r="I90" s="31" t="n"/>
      <c r="J90" s="35" t="n">
        <v>8.25</v>
      </c>
      <c r="K90" s="35" t="n">
        <v>-10</v>
      </c>
      <c r="L90" s="31" t="n"/>
      <c r="M90" s="31" t="n"/>
      <c r="N90" s="34" t="n"/>
      <c r="O90" s="34" t="n"/>
      <c r="P90" s="31" t="n"/>
      <c r="Q90" s="36">
        <f>IF(A90="","",IFERROR(INDEX('Famílias'!$E:$E,MATCH(A90,'Famílias'!$A:$A,0)),"família não cadastrada"))</f>
        <v/>
      </c>
      <c r="R90" s="37" t="n">
        <v>208.9</v>
      </c>
      <c r="S90" s="37" t="n"/>
      <c r="T90" s="37" t="n"/>
      <c r="U90" s="37" t="n"/>
      <c r="V90" s="31" t="n"/>
      <c r="W90" s="31" t="inlineStr">
        <is>
          <t>8320 Cinza; 8318 Marrom; 8319 Verde; 8317 Ametista; 8321 Safira; 8316 Âmbar</t>
        </is>
      </c>
    </row>
    <row r="91">
      <c r="A91" s="31" t="inlineStr">
        <is>
          <t>ESSILOR SURFAÇADAS</t>
        </is>
      </c>
      <c r="B91" s="32" t="inlineStr">
        <is>
          <t>8323</t>
        </is>
      </c>
      <c r="C91" s="33" t="inlineStr">
        <is>
          <t>1.59</t>
        </is>
      </c>
      <c r="D91" s="31" t="inlineStr">
        <is>
          <t>Airwear</t>
        </is>
      </c>
      <c r="E91" s="34" t="n"/>
      <c r="F91" s="34" t="n"/>
      <c r="G91" s="34" t="n"/>
      <c r="H91" s="31" t="n"/>
      <c r="I91" s="31" t="n"/>
      <c r="J91" s="35" t="n">
        <v>9.25</v>
      </c>
      <c r="K91" s="35" t="n">
        <v>-12</v>
      </c>
      <c r="L91" s="31" t="n"/>
      <c r="M91" s="31" t="n"/>
      <c r="N91" s="34" t="n"/>
      <c r="O91" s="34" t="n"/>
      <c r="P91" s="31" t="n"/>
      <c r="Q91" s="36">
        <f>IF(A91="","",IFERROR(INDEX('Famílias'!$E:$E,MATCH(A91,'Famílias'!$A:$A,0)),"família não cadastrada"))</f>
        <v/>
      </c>
      <c r="R91" s="37" t="n">
        <v>400</v>
      </c>
      <c r="S91" s="37" t="n"/>
      <c r="T91" s="37" t="n"/>
      <c r="U91" s="37" t="n"/>
      <c r="V91" s="31" t="n"/>
      <c r="W91" s="31" t="n"/>
    </row>
    <row r="92">
      <c r="A92" s="31" t="inlineStr">
        <is>
          <t>ESSILOR SURFAÇADAS</t>
        </is>
      </c>
      <c r="B92" s="32" t="inlineStr">
        <is>
          <t>8324</t>
        </is>
      </c>
      <c r="C92" s="33" t="inlineStr">
        <is>
          <t>1.59</t>
        </is>
      </c>
      <c r="D92" s="31" t="inlineStr">
        <is>
          <t>Airwear</t>
        </is>
      </c>
      <c r="E92" s="34" t="inlineStr">
        <is>
          <t>S</t>
        </is>
      </c>
      <c r="F92" s="34" t="n"/>
      <c r="G92" s="34" t="n"/>
      <c r="H92" s="31" t="n"/>
      <c r="I92" s="31" t="n"/>
      <c r="J92" s="35" t="n">
        <v>9.25</v>
      </c>
      <c r="K92" s="35" t="n">
        <v>-12</v>
      </c>
      <c r="L92" s="31" t="n"/>
      <c r="M92" s="31" t="n"/>
      <c r="N92" s="34" t="n"/>
      <c r="O92" s="34" t="n"/>
      <c r="P92" s="31" t="n"/>
      <c r="Q92" s="36">
        <f>IF(A92="","",IFERROR(INDEX('Famílias'!$E:$E,MATCH(A92,'Famílias'!$A:$A,0)),"família não cadastrada"))</f>
        <v/>
      </c>
      <c r="R92" s="37" t="n">
        <v>426.9</v>
      </c>
      <c r="S92" s="37" t="n"/>
      <c r="T92" s="37" t="n"/>
      <c r="U92" s="37" t="n"/>
      <c r="V92" s="31" t="n"/>
      <c r="W92" s="31" t="n"/>
    </row>
    <row r="93">
      <c r="A93" s="31" t="inlineStr">
        <is>
          <t>ESSILOR SURFAÇADAS</t>
        </is>
      </c>
      <c r="B93" s="32" t="n"/>
      <c r="C93" s="33" t="inlineStr">
        <is>
          <t>1.59</t>
        </is>
      </c>
      <c r="D93" s="31" t="inlineStr">
        <is>
          <t>Airwear Transitions Gen S</t>
        </is>
      </c>
      <c r="E93" s="34" t="inlineStr">
        <is>
          <t>S</t>
        </is>
      </c>
      <c r="F93" s="34" t="n"/>
      <c r="G93" s="34" t="n"/>
      <c r="H93" s="31" t="n"/>
      <c r="I93" s="31" t="n"/>
      <c r="J93" s="35" t="n">
        <v>9.25</v>
      </c>
      <c r="K93" s="35" t="n">
        <v>-12</v>
      </c>
      <c r="L93" s="31" t="n"/>
      <c r="M93" s="31" t="n"/>
      <c r="N93" s="34" t="n"/>
      <c r="O93" s="34" t="n"/>
      <c r="P93" s="31" t="n"/>
      <c r="Q93" s="36">
        <f>IF(A93="","",IFERROR(INDEX('Famílias'!$E:$E,MATCH(A93,'Famílias'!$A:$A,0)),"família não cadastrada"))</f>
        <v/>
      </c>
      <c r="R93" s="37" t="n">
        <v>665.9</v>
      </c>
      <c r="S93" s="37" t="n"/>
      <c r="T93" s="37" t="n"/>
      <c r="U93" s="37" t="n"/>
      <c r="V93" s="31" t="n"/>
      <c r="W93" s="31" t="inlineStr">
        <is>
          <t>8346 Cinza; 8341 Marrom; 8342 Verde; 8326 Safira; 8343 Âmbar; 8325 Rubi</t>
        </is>
      </c>
    </row>
    <row r="94">
      <c r="A94" s="31" t="inlineStr">
        <is>
          <t>ESSILOR SURFAÇADAS</t>
        </is>
      </c>
      <c r="B94" s="32" t="inlineStr">
        <is>
          <t>8328</t>
        </is>
      </c>
      <c r="C94" s="33" t="inlineStr">
        <is>
          <t>1.59</t>
        </is>
      </c>
      <c r="D94" s="31" t="inlineStr">
        <is>
          <t>TFL</t>
        </is>
      </c>
      <c r="E94" s="34" t="n"/>
      <c r="F94" s="34" t="n"/>
      <c r="G94" s="34" t="n"/>
      <c r="H94" s="31" t="n"/>
      <c r="I94" s="31" t="n"/>
      <c r="J94" s="35" t="n">
        <v>6</v>
      </c>
      <c r="K94" s="35" t="n">
        <v>-12</v>
      </c>
      <c r="L94" s="31" t="n"/>
      <c r="M94" s="31" t="n"/>
      <c r="N94" s="34" t="n"/>
      <c r="O94" s="34" t="n"/>
      <c r="P94" s="31" t="n"/>
      <c r="Q94" s="36">
        <f>IF(A94="","",IFERROR(INDEX('Famílias'!$E:$E,MATCH(A94,'Famílias'!$A:$A,0)),"família não cadastrada"))</f>
        <v/>
      </c>
      <c r="R94" s="37" t="n">
        <v>375.9</v>
      </c>
      <c r="S94" s="37" t="n"/>
      <c r="T94" s="37" t="n"/>
      <c r="U94" s="37" t="n"/>
      <c r="V94" s="31" t="n"/>
      <c r="W94" s="31" t="n"/>
    </row>
    <row r="95">
      <c r="A95" s="38" t="inlineStr">
        <is>
          <t>OPTVIEW</t>
        </is>
      </c>
      <c r="B95" s="39" t="inlineStr">
        <is>
          <t>0329</t>
        </is>
      </c>
      <c r="C95" s="40" t="inlineStr">
        <is>
          <t>1.49</t>
        </is>
      </c>
      <c r="D95" s="38" t="inlineStr">
        <is>
          <t>Optview</t>
        </is>
      </c>
      <c r="E95" s="41" t="n"/>
      <c r="F95" s="41" t="n"/>
      <c r="G95" s="41" t="n"/>
      <c r="H95" s="38" t="n"/>
      <c r="I95" s="38" t="n"/>
      <c r="J95" s="42" t="n">
        <v>6</v>
      </c>
      <c r="K95" s="42" t="n">
        <v>-4</v>
      </c>
      <c r="L95" s="38" t="inlineStr">
        <is>
          <t>0.00 a -2.00</t>
        </is>
      </c>
      <c r="M95" s="38" t="n"/>
      <c r="N95" s="41" t="n"/>
      <c r="O95" s="41" t="n"/>
      <c r="P95" s="38" t="n"/>
      <c r="Q95" s="43">
        <f>IF(A95="","",IFERROR(INDEX('Famílias'!$E:$E,MATCH(A95,'Famílias'!$A:$A,0)),"família não cadastrada"))</f>
        <v/>
      </c>
      <c r="R95" s="44" t="n">
        <v>14.5</v>
      </c>
      <c r="S95" s="44" t="n"/>
      <c r="T95" s="44" t="n"/>
      <c r="U95" s="44" t="n"/>
      <c r="V95" s="38" t="n"/>
      <c r="W95" s="38" t="n"/>
    </row>
    <row r="96">
      <c r="A96" s="31" t="inlineStr">
        <is>
          <t>OPTVIEW</t>
        </is>
      </c>
      <c r="B96" s="32" t="inlineStr">
        <is>
          <t>0432</t>
        </is>
      </c>
      <c r="C96" s="33" t="inlineStr">
        <is>
          <t>1.49</t>
        </is>
      </c>
      <c r="D96" s="31" t="inlineStr">
        <is>
          <t>Transitions</t>
        </is>
      </c>
      <c r="E96" s="34" t="inlineStr">
        <is>
          <t>S</t>
        </is>
      </c>
      <c r="F96" s="34" t="n"/>
      <c r="G96" s="34" t="inlineStr">
        <is>
          <t>FOTO</t>
        </is>
      </c>
      <c r="H96" s="31" t="inlineStr">
        <is>
          <t>AR</t>
        </is>
      </c>
      <c r="I96" s="31" t="inlineStr">
        <is>
          <t>verde</t>
        </is>
      </c>
      <c r="J96" s="35" t="n">
        <v>4</v>
      </c>
      <c r="K96" s="35" t="n">
        <v>-4</v>
      </c>
      <c r="L96" s="31" t="inlineStr">
        <is>
          <t>0.00 a -2.00</t>
        </is>
      </c>
      <c r="M96" s="31" t="n"/>
      <c r="N96" s="34" t="n"/>
      <c r="O96" s="34" t="n"/>
      <c r="P96" s="31" t="n"/>
      <c r="Q96" s="36">
        <f>IF(A96="","",IFERROR(INDEX('Famílias'!$E:$E,MATCH(A96,'Famílias'!$A:$A,0)),"família não cadastrada"))</f>
        <v/>
      </c>
      <c r="R96" s="37" t="n">
        <v>199</v>
      </c>
      <c r="S96" s="37" t="n"/>
      <c r="T96" s="37" t="n"/>
      <c r="U96" s="37" t="n"/>
      <c r="V96" s="31" t="n"/>
      <c r="W96" s="31" t="n"/>
    </row>
    <row r="97">
      <c r="A97" s="31" t="inlineStr">
        <is>
          <t>OPTVIEW</t>
        </is>
      </c>
      <c r="B97" s="32" t="inlineStr">
        <is>
          <t>0241</t>
        </is>
      </c>
      <c r="C97" s="33" t="inlineStr">
        <is>
          <t>1.56</t>
        </is>
      </c>
      <c r="D97" s="31" t="inlineStr">
        <is>
          <t>Optview</t>
        </is>
      </c>
      <c r="E97" s="34" t="n"/>
      <c r="F97" s="34" t="n"/>
      <c r="G97" s="34" t="n"/>
      <c r="H97" s="31" t="inlineStr">
        <is>
          <t>FastKöt</t>
        </is>
      </c>
      <c r="I97" s="31" t="inlineStr">
        <is>
          <t>verde</t>
        </is>
      </c>
      <c r="J97" s="35" t="n">
        <v>4</v>
      </c>
      <c r="K97" s="35" t="n">
        <v>-8</v>
      </c>
      <c r="L97" s="31" t="inlineStr">
        <is>
          <t>0.00 a -2.00</t>
        </is>
      </c>
      <c r="M97" s="31" t="n"/>
      <c r="N97" s="34" t="n"/>
      <c r="O97" s="34" t="n"/>
      <c r="P97" s="31" t="n"/>
      <c r="Q97" s="36">
        <f>IF(A97="","",IFERROR(INDEX('Famílias'!$E:$E,MATCH(A97,'Famílias'!$A:$A,0)),"família não cadastrada"))</f>
        <v/>
      </c>
      <c r="R97" s="37" t="n">
        <v>15</v>
      </c>
      <c r="S97" s="37" t="n"/>
      <c r="T97" s="37" t="n"/>
      <c r="U97" s="37" t="n"/>
      <c r="V97" s="31" t="n"/>
      <c r="W97" s="31" t="n"/>
    </row>
    <row r="98">
      <c r="A98" s="31" t="inlineStr">
        <is>
          <t>OPTVIEW</t>
        </is>
      </c>
      <c r="B98" s="32" t="inlineStr">
        <is>
          <t>0249</t>
        </is>
      </c>
      <c r="C98" s="33" t="inlineStr">
        <is>
          <t>1.56</t>
        </is>
      </c>
      <c r="D98" s="31" t="inlineStr">
        <is>
          <t>Optview</t>
        </is>
      </c>
      <c r="E98" s="34" t="n"/>
      <c r="F98" s="34" t="n"/>
      <c r="G98" s="34" t="inlineStr">
        <is>
          <t>RX</t>
        </is>
      </c>
      <c r="H98" s="31" t="inlineStr">
        <is>
          <t>FastKöt</t>
        </is>
      </c>
      <c r="I98" s="31" t="inlineStr">
        <is>
          <t>verde</t>
        </is>
      </c>
      <c r="J98" s="35" t="n">
        <v>4</v>
      </c>
      <c r="K98" s="35" t="n">
        <v>-6</v>
      </c>
      <c r="L98" s="31" t="inlineStr">
        <is>
          <t>-2.25 a -4.00</t>
        </is>
      </c>
      <c r="M98" s="31" t="n"/>
      <c r="N98" s="34" t="n"/>
      <c r="O98" s="34" t="n"/>
      <c r="P98" s="31" t="n"/>
      <c r="Q98" s="36">
        <f>IF(A98="","",IFERROR(INDEX('Famílias'!$E:$E,MATCH(A98,'Famílias'!$A:$A,0)),"família não cadastrada"))</f>
        <v/>
      </c>
      <c r="R98" s="37" t="n">
        <v>29</v>
      </c>
      <c r="S98" s="37" t="n"/>
      <c r="T98" s="37" t="n"/>
      <c r="U98" s="37" t="n"/>
      <c r="V98" s="31" t="n"/>
      <c r="W98" s="31" t="n"/>
    </row>
    <row r="99">
      <c r="A99" s="31" t="inlineStr">
        <is>
          <t>OPTVIEW</t>
        </is>
      </c>
      <c r="B99" s="32" t="inlineStr">
        <is>
          <t>0330</t>
        </is>
      </c>
      <c r="C99" s="33" t="inlineStr">
        <is>
          <t>1.56</t>
        </is>
      </c>
      <c r="D99" s="31" t="inlineStr">
        <is>
          <t>Optview UV+</t>
        </is>
      </c>
      <c r="E99" s="34" t="n"/>
      <c r="F99" s="34" t="n"/>
      <c r="G99" s="34" t="n"/>
      <c r="H99" s="31" t="inlineStr">
        <is>
          <t>FastKöt</t>
        </is>
      </c>
      <c r="I99" s="31" t="inlineStr">
        <is>
          <t>verde;azul</t>
        </is>
      </c>
      <c r="J99" s="35" t="n">
        <v>4</v>
      </c>
      <c r="K99" s="35" t="n">
        <v>-8</v>
      </c>
      <c r="L99" s="31" t="inlineStr">
        <is>
          <t>0.00 a -2.00</t>
        </is>
      </c>
      <c r="M99" s="31" t="n"/>
      <c r="N99" s="34" t="n"/>
      <c r="O99" s="34" t="n"/>
      <c r="P99" s="31" t="n"/>
      <c r="Q99" s="36">
        <f>IF(A99="","",IFERROR(INDEX('Famílias'!$E:$E,MATCH(A99,'Famílias'!$A:$A,0)),"família não cadastrada"))</f>
        <v/>
      </c>
      <c r="R99" s="37" t="n">
        <v>30</v>
      </c>
      <c r="S99" s="37" t="n"/>
      <c r="T99" s="37" t="n"/>
      <c r="U99" s="37" t="n"/>
      <c r="V99" s="31" t="n"/>
      <c r="W99" s="31" t="n"/>
    </row>
    <row r="100">
      <c r="A100" s="31" t="inlineStr">
        <is>
          <t>OPTVIEW</t>
        </is>
      </c>
      <c r="B100" s="32" t="inlineStr">
        <is>
          <t>0331</t>
        </is>
      </c>
      <c r="C100" s="33" t="inlineStr">
        <is>
          <t>1.56</t>
        </is>
      </c>
      <c r="D100" s="31" t="inlineStr">
        <is>
          <t>Optview UV+</t>
        </is>
      </c>
      <c r="E100" s="34" t="n"/>
      <c r="F100" s="34" t="n"/>
      <c r="G100" s="34" t="inlineStr">
        <is>
          <t>RX</t>
        </is>
      </c>
      <c r="H100" s="31" t="inlineStr">
        <is>
          <t>FastKöt</t>
        </is>
      </c>
      <c r="I100" s="31" t="inlineStr">
        <is>
          <t>verde;azul</t>
        </is>
      </c>
      <c r="J100" s="35" t="n">
        <v>4</v>
      </c>
      <c r="K100" s="35" t="n">
        <v>-6</v>
      </c>
      <c r="L100" s="31" t="inlineStr">
        <is>
          <t>-2.25 a -4.00</t>
        </is>
      </c>
      <c r="M100" s="31" t="n"/>
      <c r="N100" s="34" t="n"/>
      <c r="O100" s="34" t="n"/>
      <c r="P100" s="31" t="n"/>
      <c r="Q100" s="36">
        <f>IF(A100="","",IFERROR(INDEX('Famílias'!$E:$E,MATCH(A100,'Famílias'!$A:$A,0)),"família não cadastrada"))</f>
        <v/>
      </c>
      <c r="R100" s="37" t="n">
        <v>45</v>
      </c>
      <c r="S100" s="37" t="n"/>
      <c r="T100" s="37" t="n"/>
      <c r="U100" s="37" t="n"/>
      <c r="V100" s="31" t="n"/>
      <c r="W100" s="31" t="n"/>
    </row>
    <row r="101">
      <c r="A101" s="31" t="inlineStr">
        <is>
          <t>OPTVIEW</t>
        </is>
      </c>
      <c r="B101" s="32" t="inlineStr">
        <is>
          <t>0332</t>
        </is>
      </c>
      <c r="C101" s="33" t="inlineStr">
        <is>
          <t>1.56</t>
        </is>
      </c>
      <c r="D101" s="31" t="inlineStr">
        <is>
          <t>Optview Sun+ UV+</t>
        </is>
      </c>
      <c r="E101" s="34" t="n"/>
      <c r="F101" s="34" t="n"/>
      <c r="G101" s="34" t="inlineStr">
        <is>
          <t>FOTO</t>
        </is>
      </c>
      <c r="H101" s="31" t="inlineStr">
        <is>
          <t>FastKöt SH</t>
        </is>
      </c>
      <c r="I101" s="31" t="inlineStr">
        <is>
          <t>verde</t>
        </is>
      </c>
      <c r="J101" s="35" t="n">
        <v>3</v>
      </c>
      <c r="K101" s="35" t="n">
        <v>-4</v>
      </c>
      <c r="L101" s="31" t="inlineStr">
        <is>
          <t>0.00 a -2.00</t>
        </is>
      </c>
      <c r="M101" s="31" t="n"/>
      <c r="N101" s="34" t="n"/>
      <c r="O101" s="34" t="n"/>
      <c r="P101" s="31" t="n"/>
      <c r="Q101" s="36">
        <f>IF(A101="","",IFERROR(INDEX('Famílias'!$E:$E,MATCH(A101,'Famílias'!$A:$A,0)),"família não cadastrada"))</f>
        <v/>
      </c>
      <c r="R101" s="37" t="n">
        <v>75</v>
      </c>
      <c r="S101" s="37" t="n"/>
      <c r="T101" s="37" t="n"/>
      <c r="U101" s="37" t="n"/>
      <c r="V101" s="31" t="n"/>
      <c r="W101" s="31" t="n"/>
    </row>
    <row r="102">
      <c r="A102" s="31" t="inlineStr">
        <is>
          <t>OPTVIEW</t>
        </is>
      </c>
      <c r="B102" s="32" t="inlineStr">
        <is>
          <t>0368</t>
        </is>
      </c>
      <c r="C102" s="33" t="inlineStr">
        <is>
          <t>1.56</t>
        </is>
      </c>
      <c r="D102" s="31" t="inlineStr">
        <is>
          <t>Optview Sun+ UV+</t>
        </is>
      </c>
      <c r="E102" s="34" t="n"/>
      <c r="F102" s="34" t="n"/>
      <c r="G102" s="34" t="inlineStr">
        <is>
          <t>FOTO</t>
        </is>
      </c>
      <c r="H102" s="31" t="inlineStr">
        <is>
          <t>FastKöt SH</t>
        </is>
      </c>
      <c r="I102" s="31" t="inlineStr">
        <is>
          <t>verde</t>
        </is>
      </c>
      <c r="J102" s="35" t="n">
        <v>3</v>
      </c>
      <c r="K102" s="35" t="n">
        <v>-4</v>
      </c>
      <c r="L102" s="31" t="inlineStr">
        <is>
          <t>-2.25 a -4.00</t>
        </is>
      </c>
      <c r="M102" s="31" t="n"/>
      <c r="N102" s="34" t="n"/>
      <c r="O102" s="34" t="n"/>
      <c r="P102" s="31" t="n"/>
      <c r="Q102" s="36">
        <f>IF(A102="","",IFERROR(INDEX('Famílias'!$E:$E,MATCH(A102,'Famílias'!$A:$A,0)),"família não cadastrada"))</f>
        <v/>
      </c>
      <c r="R102" s="37" t="n">
        <v>119</v>
      </c>
      <c r="S102" s="37" t="n"/>
      <c r="T102" s="37" t="n"/>
      <c r="U102" s="37" t="n"/>
      <c r="V102" s="31" t="n"/>
      <c r="W102" s="31" t="n"/>
    </row>
    <row r="103">
      <c r="A103" s="31" t="inlineStr">
        <is>
          <t>OPTVIEW</t>
        </is>
      </c>
      <c r="B103" s="32" t="inlineStr">
        <is>
          <t>0353</t>
        </is>
      </c>
      <c r="C103" s="33" t="inlineStr">
        <is>
          <t>1.56</t>
        </is>
      </c>
      <c r="D103" s="31" t="inlineStr">
        <is>
          <t>Resina Foto</t>
        </is>
      </c>
      <c r="E103" s="34" t="n"/>
      <c r="F103" s="34" t="n"/>
      <c r="G103" s="34" t="inlineStr">
        <is>
          <t>FOTO</t>
        </is>
      </c>
      <c r="H103" s="31" t="inlineStr">
        <is>
          <t>AR</t>
        </is>
      </c>
      <c r="I103" s="31" t="inlineStr">
        <is>
          <t>verde</t>
        </is>
      </c>
      <c r="J103" s="35" t="n">
        <v>4</v>
      </c>
      <c r="K103" s="35" t="n">
        <v>-4</v>
      </c>
      <c r="L103" s="31" t="inlineStr">
        <is>
          <t>0.00 a -2.00</t>
        </is>
      </c>
      <c r="M103" s="31" t="n"/>
      <c r="N103" s="34" t="n"/>
      <c r="O103" s="34" t="n"/>
      <c r="P103" s="31" t="n"/>
      <c r="Q103" s="36">
        <f>IF(A103="","",IFERROR(INDEX('Famílias'!$E:$E,MATCH(A103,'Famílias'!$A:$A,0)),"família não cadastrada"))</f>
        <v/>
      </c>
      <c r="R103" s="37" t="n">
        <v>39</v>
      </c>
      <c r="S103" s="37" t="n"/>
      <c r="T103" s="37" t="n"/>
      <c r="U103" s="37" t="n"/>
      <c r="V103" s="31" t="n"/>
      <c r="W103" s="31" t="n"/>
    </row>
    <row r="104">
      <c r="A104" s="31" t="inlineStr">
        <is>
          <t>OPTVIEW</t>
        </is>
      </c>
      <c r="B104" s="32" t="inlineStr">
        <is>
          <t>0259</t>
        </is>
      </c>
      <c r="C104" s="33" t="inlineStr">
        <is>
          <t>1.59</t>
        </is>
      </c>
      <c r="D104" s="31" t="inlineStr">
        <is>
          <t>Optview</t>
        </is>
      </c>
      <c r="E104" s="34" t="n"/>
      <c r="F104" s="34" t="n"/>
      <c r="G104" s="34" t="n"/>
      <c r="H104" s="31" t="n"/>
      <c r="I104" s="31" t="n"/>
      <c r="J104" s="35" t="n">
        <v>4</v>
      </c>
      <c r="K104" s="35" t="n">
        <v>-6</v>
      </c>
      <c r="L104" s="31" t="inlineStr">
        <is>
          <t>0.00 a -2.00</t>
        </is>
      </c>
      <c r="M104" s="31" t="n"/>
      <c r="N104" s="34" t="n"/>
      <c r="O104" s="34" t="n"/>
      <c r="P104" s="31" t="n"/>
      <c r="Q104" s="36">
        <f>IF(A104="","",IFERROR(INDEX('Famílias'!$E:$E,MATCH(A104,'Famílias'!$A:$A,0)),"família não cadastrada"))</f>
        <v/>
      </c>
      <c r="R104" s="37" t="n">
        <v>19</v>
      </c>
      <c r="S104" s="37" t="n"/>
      <c r="T104" s="37" t="n"/>
      <c r="U104" s="37" t="n"/>
      <c r="V104" s="31" t="n"/>
      <c r="W104" s="31" t="n"/>
    </row>
    <row r="105">
      <c r="A105" s="31" t="inlineStr">
        <is>
          <t>OPTVIEW</t>
        </is>
      </c>
      <c r="B105" s="32" t="inlineStr">
        <is>
          <t>0260</t>
        </is>
      </c>
      <c r="C105" s="33" t="inlineStr">
        <is>
          <t>1.59</t>
        </is>
      </c>
      <c r="D105" s="31" t="inlineStr">
        <is>
          <t>Optview</t>
        </is>
      </c>
      <c r="E105" s="34" t="n"/>
      <c r="F105" s="34" t="n"/>
      <c r="G105" s="34" t="inlineStr">
        <is>
          <t>RX</t>
        </is>
      </c>
      <c r="H105" s="31" t="n"/>
      <c r="I105" s="31" t="n"/>
      <c r="J105" s="35" t="n">
        <v>2</v>
      </c>
      <c r="K105" s="35" t="n">
        <v>-6</v>
      </c>
      <c r="L105" s="31" t="inlineStr">
        <is>
          <t>-2.25 a -4.00</t>
        </is>
      </c>
      <c r="M105" s="31" t="n"/>
      <c r="N105" s="34" t="n"/>
      <c r="O105" s="34" t="n"/>
      <c r="P105" s="31" t="n"/>
      <c r="Q105" s="36">
        <f>IF(A105="","",IFERROR(INDEX('Famílias'!$E:$E,MATCH(A105,'Famílias'!$A:$A,0)),"família não cadastrada"))</f>
        <v/>
      </c>
      <c r="R105" s="37" t="n">
        <v>55</v>
      </c>
      <c r="S105" s="37" t="n"/>
      <c r="T105" s="37" t="n"/>
      <c r="U105" s="37" t="n"/>
      <c r="V105" s="31" t="n"/>
      <c r="W105" s="31" t="n"/>
    </row>
    <row r="106">
      <c r="A106" s="31" t="inlineStr">
        <is>
          <t>OPTVIEW</t>
        </is>
      </c>
      <c r="B106" s="32" t="inlineStr">
        <is>
          <t>0261</t>
        </is>
      </c>
      <c r="C106" s="33" t="inlineStr">
        <is>
          <t>1.59</t>
        </is>
      </c>
      <c r="D106" s="31" t="inlineStr">
        <is>
          <t>Optview</t>
        </is>
      </c>
      <c r="E106" s="34" t="n"/>
      <c r="F106" s="34" t="n"/>
      <c r="G106" s="34" t="n"/>
      <c r="H106" s="31" t="inlineStr">
        <is>
          <t>FastKöt</t>
        </is>
      </c>
      <c r="I106" s="31" t="inlineStr">
        <is>
          <t>verde</t>
        </is>
      </c>
      <c r="J106" s="35" t="n">
        <v>6</v>
      </c>
      <c r="K106" s="35" t="n">
        <v>-8</v>
      </c>
      <c r="L106" s="31" t="inlineStr">
        <is>
          <t>0.00 a -2.00</t>
        </is>
      </c>
      <c r="M106" s="31" t="n"/>
      <c r="N106" s="34" t="n"/>
      <c r="O106" s="34" t="n"/>
      <c r="P106" s="31" t="n"/>
      <c r="Q106" s="36">
        <f>IF(A106="","",IFERROR(INDEX('Famílias'!$E:$E,MATCH(A106,'Famílias'!$A:$A,0)),"família não cadastrada"))</f>
        <v/>
      </c>
      <c r="R106" s="37" t="n">
        <v>29</v>
      </c>
      <c r="S106" s="37" t="n"/>
      <c r="T106" s="37" t="n"/>
      <c r="U106" s="37" t="n"/>
      <c r="V106" s="31" t="n"/>
      <c r="W106" s="31" t="n"/>
    </row>
    <row r="107">
      <c r="A107" s="31" t="inlineStr">
        <is>
          <t>OPTVIEW</t>
        </is>
      </c>
      <c r="B107" s="32" t="inlineStr">
        <is>
          <t>0264</t>
        </is>
      </c>
      <c r="C107" s="33" t="inlineStr">
        <is>
          <t>1.59</t>
        </is>
      </c>
      <c r="D107" s="31" t="inlineStr">
        <is>
          <t>Optview</t>
        </is>
      </c>
      <c r="E107" s="34" t="n"/>
      <c r="F107" s="34" t="n"/>
      <c r="G107" s="34" t="inlineStr">
        <is>
          <t>RX</t>
        </is>
      </c>
      <c r="H107" s="31" t="inlineStr">
        <is>
          <t>FastKöt</t>
        </is>
      </c>
      <c r="I107" s="31" t="inlineStr">
        <is>
          <t>verde</t>
        </is>
      </c>
      <c r="J107" s="35" t="n">
        <v>2</v>
      </c>
      <c r="K107" s="35" t="n">
        <v>-6</v>
      </c>
      <c r="L107" s="31" t="inlineStr">
        <is>
          <t>-2.25 a -4.00</t>
        </is>
      </c>
      <c r="M107" s="31" t="n"/>
      <c r="N107" s="34" t="n"/>
      <c r="O107" s="34" t="n"/>
      <c r="P107" s="31" t="n"/>
      <c r="Q107" s="36">
        <f>IF(A107="","",IFERROR(INDEX('Famílias'!$E:$E,MATCH(A107,'Famílias'!$A:$A,0)),"família não cadastrada"))</f>
        <v/>
      </c>
      <c r="R107" s="37" t="n">
        <v>65</v>
      </c>
      <c r="S107" s="37" t="n"/>
      <c r="T107" s="37" t="n"/>
      <c r="U107" s="37" t="n"/>
      <c r="V107" s="31" t="n"/>
      <c r="W107" s="31" t="n"/>
    </row>
    <row r="108">
      <c r="A108" s="31" t="inlineStr">
        <is>
          <t>OPTVIEW</t>
        </is>
      </c>
      <c r="B108" s="32" t="inlineStr">
        <is>
          <t>0276</t>
        </is>
      </c>
      <c r="C108" s="33" t="inlineStr">
        <is>
          <t>1.59</t>
        </is>
      </c>
      <c r="D108" s="31" t="inlineStr">
        <is>
          <t>Optview UV+</t>
        </is>
      </c>
      <c r="E108" s="34" t="n"/>
      <c r="F108" s="34" t="n"/>
      <c r="G108" s="34" t="n"/>
      <c r="H108" s="31" t="inlineStr">
        <is>
          <t>FastKöt</t>
        </is>
      </c>
      <c r="I108" s="31" t="inlineStr">
        <is>
          <t>verde</t>
        </is>
      </c>
      <c r="J108" s="35" t="n">
        <v>6</v>
      </c>
      <c r="K108" s="35" t="n">
        <v>-8</v>
      </c>
      <c r="L108" s="31" t="inlineStr">
        <is>
          <t>0.00 a -2.00</t>
        </is>
      </c>
      <c r="M108" s="31" t="n"/>
      <c r="N108" s="34" t="n"/>
      <c r="O108" s="34" t="n"/>
      <c r="P108" s="31" t="n"/>
      <c r="Q108" s="36">
        <f>IF(A108="","",IFERROR(INDEX('Famílias'!$E:$E,MATCH(A108,'Famílias'!$A:$A,0)),"família não cadastrada"))</f>
        <v/>
      </c>
      <c r="R108" s="37" t="n">
        <v>45</v>
      </c>
      <c r="S108" s="37" t="n"/>
      <c r="T108" s="37" t="n"/>
      <c r="U108" s="37" t="n"/>
      <c r="V108" s="31" t="n"/>
      <c r="W108" s="31" t="n"/>
    </row>
    <row r="109">
      <c r="A109" s="31" t="inlineStr">
        <is>
          <t>OPTVIEW</t>
        </is>
      </c>
      <c r="B109" s="32" t="inlineStr">
        <is>
          <t>0277</t>
        </is>
      </c>
      <c r="C109" s="33" t="inlineStr">
        <is>
          <t>1.59</t>
        </is>
      </c>
      <c r="D109" s="31" t="inlineStr">
        <is>
          <t>Optview UV+</t>
        </is>
      </c>
      <c r="E109" s="34" t="n"/>
      <c r="F109" s="34" t="n"/>
      <c r="G109" s="34" t="inlineStr">
        <is>
          <t>RX</t>
        </is>
      </c>
      <c r="H109" s="31" t="inlineStr">
        <is>
          <t>FastKöt</t>
        </is>
      </c>
      <c r="I109" s="31" t="inlineStr">
        <is>
          <t>verde</t>
        </is>
      </c>
      <c r="J109" s="35" t="n">
        <v>2</v>
      </c>
      <c r="K109" s="35" t="n">
        <v>-6</v>
      </c>
      <c r="L109" s="31" t="inlineStr">
        <is>
          <t>-2.25 a -4.00</t>
        </is>
      </c>
      <c r="M109" s="31" t="n"/>
      <c r="N109" s="34" t="n"/>
      <c r="O109" s="34" t="n"/>
      <c r="P109" s="31" t="n"/>
      <c r="Q109" s="36">
        <f>IF(A109="","",IFERROR(INDEX('Famílias'!$E:$E,MATCH(A109,'Famílias'!$A:$A,0)),"família não cadastrada"))</f>
        <v/>
      </c>
      <c r="R109" s="37" t="n">
        <v>70</v>
      </c>
      <c r="S109" s="37" t="n"/>
      <c r="T109" s="37" t="n"/>
      <c r="U109" s="37" t="n"/>
      <c r="V109" s="31" t="n"/>
      <c r="W109" s="31" t="n"/>
    </row>
    <row r="110">
      <c r="A110" s="31" t="inlineStr">
        <is>
          <t>OPTVIEW</t>
        </is>
      </c>
      <c r="B110" s="32" t="inlineStr">
        <is>
          <t>0257</t>
        </is>
      </c>
      <c r="C110" s="33" t="inlineStr">
        <is>
          <t>1.67</t>
        </is>
      </c>
      <c r="D110" s="31" t="inlineStr">
        <is>
          <t>Optview UV+</t>
        </is>
      </c>
      <c r="E110" s="34" t="n"/>
      <c r="F110" s="34" t="n"/>
      <c r="G110" s="34" t="n"/>
      <c r="H110" s="31" t="inlineStr">
        <is>
          <t>FastKöt SH</t>
        </is>
      </c>
      <c r="I110" s="31" t="inlineStr">
        <is>
          <t>verde</t>
        </is>
      </c>
      <c r="J110" s="35" t="n">
        <v>6</v>
      </c>
      <c r="K110" s="35" t="n">
        <v>-12</v>
      </c>
      <c r="L110" s="31" t="inlineStr">
        <is>
          <t>0.00 a -2.00</t>
        </is>
      </c>
      <c r="M110" s="31" t="n"/>
      <c r="N110" s="34" t="n"/>
      <c r="O110" s="34" t="n"/>
      <c r="P110" s="31" t="inlineStr">
        <is>
          <t>Esf. -12.50 a -15.00 sem cil.</t>
        </is>
      </c>
      <c r="Q110" s="36">
        <f>IF(A110="","",IFERROR(INDEX('Famílias'!$E:$E,MATCH(A110,'Famílias'!$A:$A,0)),"família não cadastrada"))</f>
        <v/>
      </c>
      <c r="R110" s="37" t="n">
        <v>149</v>
      </c>
      <c r="S110" s="37" t="n"/>
      <c r="T110" s="37" t="n"/>
      <c r="U110" s="37" t="n"/>
      <c r="V110" s="31" t="n"/>
      <c r="W110" s="31" t="n"/>
    </row>
    <row r="111">
      <c r="A111" s="31" t="inlineStr">
        <is>
          <t>OPTVIEW</t>
        </is>
      </c>
      <c r="B111" s="32" t="inlineStr">
        <is>
          <t>0328</t>
        </is>
      </c>
      <c r="C111" s="33" t="inlineStr">
        <is>
          <t>1.67</t>
        </is>
      </c>
      <c r="D111" s="31" t="inlineStr">
        <is>
          <t>Optview UV+</t>
        </is>
      </c>
      <c r="E111" s="34" t="n"/>
      <c r="F111" s="34" t="n"/>
      <c r="G111" s="34" t="inlineStr">
        <is>
          <t>RX</t>
        </is>
      </c>
      <c r="H111" s="31" t="inlineStr">
        <is>
          <t>FastKöt SH</t>
        </is>
      </c>
      <c r="I111" s="31" t="inlineStr">
        <is>
          <t>verde</t>
        </is>
      </c>
      <c r="J111" s="35" t="n">
        <v>0</v>
      </c>
      <c r="K111" s="35" t="n">
        <v>-8</v>
      </c>
      <c r="L111" s="31" t="inlineStr">
        <is>
          <t>-2.25 a -4.00</t>
        </is>
      </c>
      <c r="M111" s="31" t="n"/>
      <c r="N111" s="34" t="n"/>
      <c r="O111" s="34" t="n"/>
      <c r="P111" s="31" t="n"/>
      <c r="Q111" s="36">
        <f>IF(A111="","",IFERROR(INDEX('Famílias'!$E:$E,MATCH(A111,'Famílias'!$A:$A,0)),"família não cadastrada"))</f>
        <v/>
      </c>
      <c r="R111" s="37" t="n">
        <v>149</v>
      </c>
      <c r="S111" s="37" t="n"/>
      <c r="T111" s="37" t="n"/>
      <c r="U111" s="37" t="n"/>
      <c r="V111" s="31" t="n"/>
      <c r="W111" s="31" t="n"/>
    </row>
    <row r="112">
      <c r="A112" s="31" t="inlineStr">
        <is>
          <t>OPTVIEW</t>
        </is>
      </c>
      <c r="B112" s="32" t="inlineStr">
        <is>
          <t>0326</t>
        </is>
      </c>
      <c r="C112" s="33" t="inlineStr">
        <is>
          <t>1.74</t>
        </is>
      </c>
      <c r="D112" s="31" t="inlineStr">
        <is>
          <t>Optview UV+</t>
        </is>
      </c>
      <c r="E112" s="34" t="n"/>
      <c r="F112" s="34" t="n"/>
      <c r="G112" s="34" t="n"/>
      <c r="H112" s="31" t="inlineStr">
        <is>
          <t>FastKöt SH</t>
        </is>
      </c>
      <c r="I112" s="31" t="inlineStr">
        <is>
          <t>verde</t>
        </is>
      </c>
      <c r="J112" s="35" t="n">
        <v>-2</v>
      </c>
      <c r="K112" s="35" t="n">
        <v>-13</v>
      </c>
      <c r="L112" s="31" t="inlineStr">
        <is>
          <t>0.00 a -2.00</t>
        </is>
      </c>
      <c r="M112" s="31" t="n"/>
      <c r="N112" s="34" t="n"/>
      <c r="O112" s="34" t="n"/>
      <c r="P112" s="31" t="inlineStr">
        <is>
          <t>Esf. -15.00 sem cil.</t>
        </is>
      </c>
      <c r="Q112" s="36">
        <f>IF(A112="","",IFERROR(INDEX('Famílias'!$E:$E,MATCH(A112,'Famílias'!$A:$A,0)),"família não cadastrada"))</f>
        <v/>
      </c>
      <c r="R112" s="37" t="n">
        <v>389</v>
      </c>
      <c r="S112" s="37" t="n"/>
      <c r="T112" s="37" t="n"/>
      <c r="U112" s="37" t="n"/>
      <c r="V112" s="31" t="n"/>
      <c r="W112" s="31" t="n"/>
    </row>
    <row r="113">
      <c r="A113" s="31" t="inlineStr">
        <is>
          <t>OPTVIEW</t>
        </is>
      </c>
      <c r="B113" s="32" t="inlineStr">
        <is>
          <t>0327</t>
        </is>
      </c>
      <c r="C113" s="33" t="inlineStr">
        <is>
          <t>1.74</t>
        </is>
      </c>
      <c r="D113" s="31" t="inlineStr">
        <is>
          <t>Optview UV+</t>
        </is>
      </c>
      <c r="E113" s="34" t="n"/>
      <c r="F113" s="34" t="n"/>
      <c r="G113" s="34" t="inlineStr">
        <is>
          <t>RX</t>
        </is>
      </c>
      <c r="H113" s="31" t="inlineStr">
        <is>
          <t>FastKöt SH</t>
        </is>
      </c>
      <c r="I113" s="31" t="inlineStr">
        <is>
          <t>verde</t>
        </is>
      </c>
      <c r="J113" s="35" t="n">
        <v>-2</v>
      </c>
      <c r="K113" s="35" t="n">
        <v>-8</v>
      </c>
      <c r="L113" s="31" t="inlineStr">
        <is>
          <t>-2.25 a -4.00</t>
        </is>
      </c>
      <c r="M113" s="31" t="n"/>
      <c r="N113" s="34" t="n"/>
      <c r="O113" s="34" t="n"/>
      <c r="P113" s="31" t="n"/>
      <c r="Q113" s="36">
        <f>IF(A113="","",IFERROR(INDEX('Famílias'!$E:$E,MATCH(A113,'Famílias'!$A:$A,0)),"família não cadastrada"))</f>
        <v/>
      </c>
      <c r="R113" s="37" t="n">
        <v>389</v>
      </c>
      <c r="S113" s="37" t="n"/>
      <c r="T113" s="37" t="n"/>
      <c r="U113" s="37" t="n"/>
      <c r="V113" s="31" t="n"/>
      <c r="W113" s="31" t="n"/>
    </row>
    <row r="114">
      <c r="A114" s="38" t="inlineStr">
        <is>
          <t>MULTIFOCAL ACABADA</t>
        </is>
      </c>
      <c r="B114" s="39" t="inlineStr">
        <is>
          <t>0384</t>
        </is>
      </c>
      <c r="C114" s="40" t="inlineStr">
        <is>
          <t>1.56</t>
        </is>
      </c>
      <c r="D114" s="38" t="inlineStr">
        <is>
          <t>MF Incolor</t>
        </is>
      </c>
      <c r="E114" s="41" t="n"/>
      <c r="F114" s="41" t="n"/>
      <c r="G114" s="41" t="n"/>
      <c r="H114" s="38" t="n"/>
      <c r="I114" s="38" t="n"/>
      <c r="J114" s="42" t="n">
        <v>2</v>
      </c>
      <c r="K114" s="42" t="n">
        <v>0</v>
      </c>
      <c r="L114" s="38" t="n"/>
      <c r="M114" s="38" t="inlineStr">
        <is>
          <t>1.00 a 3.00</t>
        </is>
      </c>
      <c r="N114" s="41" t="n"/>
      <c r="O114" s="41" t="n"/>
      <c r="P114" s="38" t="n"/>
      <c r="Q114" s="43">
        <f>IF(A114="","",IFERROR(INDEX('Famílias'!$E:$E,MATCH(A114,'Famílias'!$A:$A,0)),"família não cadastrada"))</f>
        <v/>
      </c>
      <c r="R114" s="44" t="n">
        <v>45</v>
      </c>
      <c r="S114" s="44" t="n"/>
      <c r="T114" s="44" t="n"/>
      <c r="U114" s="44" t="n"/>
      <c r="V114" s="38" t="n"/>
      <c r="W114" s="38" t="n"/>
    </row>
    <row r="115">
      <c r="A115" s="31" t="inlineStr">
        <is>
          <t>MULTIFOCAL ACABADA</t>
        </is>
      </c>
      <c r="B115" s="32" t="inlineStr">
        <is>
          <t>0349</t>
        </is>
      </c>
      <c r="C115" s="33" t="inlineStr">
        <is>
          <t>1.56</t>
        </is>
      </c>
      <c r="D115" s="31" t="inlineStr">
        <is>
          <t>Optview MF UV+</t>
        </is>
      </c>
      <c r="E115" s="34" t="n"/>
      <c r="F115" s="34" t="n"/>
      <c r="G115" s="34" t="n"/>
      <c r="H115" s="31" t="inlineStr">
        <is>
          <t>FastKöt</t>
        </is>
      </c>
      <c r="I115" s="31" t="inlineStr">
        <is>
          <t>azul</t>
        </is>
      </c>
      <c r="J115" s="35" t="n">
        <v>3</v>
      </c>
      <c r="K115" s="35" t="n">
        <v>-1</v>
      </c>
      <c r="L115" s="31" t="n"/>
      <c r="M115" s="31" t="inlineStr">
        <is>
          <t>1.00 a 3.00</t>
        </is>
      </c>
      <c r="N115" s="34" t="n"/>
      <c r="O115" s="34" t="n"/>
      <c r="P115" s="31" t="n"/>
      <c r="Q115" s="36">
        <f>IF(A115="","",IFERROR(INDEX('Famílias'!$E:$E,MATCH(A115,'Famílias'!$A:$A,0)),"família não cadastrada"))</f>
        <v/>
      </c>
      <c r="R115" s="37" t="n">
        <v>69</v>
      </c>
      <c r="S115" s="37" t="n"/>
      <c r="T115" s="37" t="n"/>
      <c r="U115" s="37" t="n"/>
      <c r="V115" s="31" t="n"/>
      <c r="W115" s="31" t="n"/>
    </row>
    <row r="116">
      <c r="A116" s="31" t="inlineStr">
        <is>
          <t>MULTIFOCAL ACABADA</t>
        </is>
      </c>
      <c r="B116" s="32" t="inlineStr">
        <is>
          <t>0350</t>
        </is>
      </c>
      <c r="C116" s="33" t="inlineStr">
        <is>
          <t>1.56</t>
        </is>
      </c>
      <c r="D116" s="31" t="inlineStr">
        <is>
          <t>Optview MF Sun UV+</t>
        </is>
      </c>
      <c r="E116" s="34" t="n"/>
      <c r="F116" s="34" t="n"/>
      <c r="G116" s="34" t="inlineStr">
        <is>
          <t>FOTO</t>
        </is>
      </c>
      <c r="H116" s="31" t="inlineStr">
        <is>
          <t>FastKöt</t>
        </is>
      </c>
      <c r="I116" s="31" t="inlineStr">
        <is>
          <t>azul</t>
        </is>
      </c>
      <c r="J116" s="35" t="n">
        <v>3</v>
      </c>
      <c r="K116" s="35" t="n">
        <v>-1</v>
      </c>
      <c r="L116" s="31" t="n"/>
      <c r="M116" s="31" t="inlineStr">
        <is>
          <t>1.00 a 3.00</t>
        </is>
      </c>
      <c r="N116" s="34" t="n"/>
      <c r="O116" s="34" t="n"/>
      <c r="P116" s="31" t="n"/>
      <c r="Q116" s="36">
        <f>IF(A116="","",IFERROR(INDEX('Famílias'!$E:$E,MATCH(A116,'Famílias'!$A:$A,0)),"família não cadastrada"))</f>
        <v/>
      </c>
      <c r="R116" s="37" t="n">
        <v>89</v>
      </c>
      <c r="S116" s="37" t="n"/>
      <c r="T116" s="37" t="n"/>
      <c r="U116" s="37" t="n"/>
      <c r="V116" s="31" t="n"/>
      <c r="W116" s="31" t="n"/>
    </row>
    <row r="117">
      <c r="A117" s="38" t="inlineStr">
        <is>
          <t>LENTE PRONTA KODAK</t>
        </is>
      </c>
      <c r="B117" s="39" t="inlineStr">
        <is>
          <t>8365</t>
        </is>
      </c>
      <c r="C117" s="40" t="inlineStr">
        <is>
          <t>1.50</t>
        </is>
      </c>
      <c r="D117" s="38" t="inlineStr">
        <is>
          <t>Transitions Gen S Cinza No Reflex</t>
        </is>
      </c>
      <c r="E117" s="41" t="inlineStr">
        <is>
          <t>S</t>
        </is>
      </c>
      <c r="F117" s="41" t="inlineStr">
        <is>
          <t>verde</t>
        </is>
      </c>
      <c r="G117" s="41" t="n"/>
      <c r="H117" s="38" t="n"/>
      <c r="I117" s="38" t="n"/>
      <c r="J117" s="42" t="n">
        <v>4</v>
      </c>
      <c r="K117" s="42" t="n">
        <v>-4</v>
      </c>
      <c r="L117" s="38" t="inlineStr">
        <is>
          <t>até -2.00</t>
        </is>
      </c>
      <c r="M117" s="38" t="n"/>
      <c r="N117" s="41" t="n"/>
      <c r="O117" s="41" t="n"/>
      <c r="P117" s="38" t="n"/>
      <c r="Q117" s="43">
        <f>IF(A117="","",IFERROR(INDEX('Famílias'!$E:$E,MATCH(A117,'Famílias'!$A:$A,0)),"família não cadastrada"))</f>
        <v/>
      </c>
      <c r="R117" s="44" t="n">
        <v>175</v>
      </c>
      <c r="S117" s="44" t="n"/>
      <c r="T117" s="44" t="n"/>
      <c r="U117" s="44" t="n"/>
      <c r="V117" s="38" t="n"/>
      <c r="W117" s="38" t="n"/>
    </row>
    <row r="118">
      <c r="A118" s="31" t="inlineStr">
        <is>
          <t>LENTE PRONTA KODAK</t>
        </is>
      </c>
      <c r="B118" s="32" t="inlineStr">
        <is>
          <t>8347</t>
        </is>
      </c>
      <c r="C118" s="33" t="inlineStr">
        <is>
          <t>1.56</t>
        </is>
      </c>
      <c r="D118" s="31" t="inlineStr">
        <is>
          <t>Intro</t>
        </is>
      </c>
      <c r="E118" s="34" t="n"/>
      <c r="F118" s="34" t="inlineStr">
        <is>
          <t>verde</t>
        </is>
      </c>
      <c r="G118" s="34" t="n"/>
      <c r="H118" s="31" t="n"/>
      <c r="I118" s="31" t="n"/>
      <c r="J118" s="35" t="n">
        <v>6</v>
      </c>
      <c r="K118" s="35" t="n">
        <v>-6</v>
      </c>
      <c r="L118" s="31" t="inlineStr">
        <is>
          <t>até -2.00</t>
        </is>
      </c>
      <c r="M118" s="31" t="n"/>
      <c r="N118" s="34" t="n"/>
      <c r="O118" s="34" t="n"/>
      <c r="P118" s="31" t="n"/>
      <c r="Q118" s="36">
        <f>IF(A118="","",IFERROR(INDEX('Famílias'!$E:$E,MATCH(A118,'Famílias'!$A:$A,0)),"família não cadastrada"))</f>
        <v/>
      </c>
      <c r="R118" s="37" t="n">
        <v>23.9</v>
      </c>
      <c r="S118" s="37" t="n"/>
      <c r="T118" s="37" t="n"/>
      <c r="U118" s="37" t="n"/>
      <c r="V118" s="31" t="n"/>
      <c r="W118" s="31" t="n"/>
    </row>
    <row r="119">
      <c r="A119" s="31" t="inlineStr">
        <is>
          <t>LENTE PRONTA KODAK</t>
        </is>
      </c>
      <c r="B119" s="32" t="inlineStr">
        <is>
          <t>8349</t>
        </is>
      </c>
      <c r="C119" s="33" t="inlineStr">
        <is>
          <t>1.56</t>
        </is>
      </c>
      <c r="D119" s="31" t="inlineStr">
        <is>
          <t>Blue</t>
        </is>
      </c>
      <c r="E119" s="34" t="inlineStr">
        <is>
          <t>S</t>
        </is>
      </c>
      <c r="F119" s="34" t="inlineStr">
        <is>
          <t>verde</t>
        </is>
      </c>
      <c r="G119" s="34" t="n"/>
      <c r="H119" s="31" t="n"/>
      <c r="I119" s="31" t="n"/>
      <c r="J119" s="35" t="n">
        <v>4</v>
      </c>
      <c r="K119" s="35" t="n">
        <v>-6</v>
      </c>
      <c r="L119" s="31" t="inlineStr">
        <is>
          <t>até -2.00</t>
        </is>
      </c>
      <c r="M119" s="31" t="n"/>
      <c r="N119" s="34" t="n"/>
      <c r="O119" s="34" t="n"/>
      <c r="P119" s="31" t="n"/>
      <c r="Q119" s="36">
        <f>IF(A119="","",IFERROR(INDEX('Famílias'!$E:$E,MATCH(A119,'Famílias'!$A:$A,0)),"família não cadastrada"))</f>
        <v/>
      </c>
      <c r="R119" s="37" t="n">
        <v>42.9</v>
      </c>
      <c r="S119" s="37" t="n"/>
      <c r="T119" s="37" t="n"/>
      <c r="U119" s="37" t="n"/>
      <c r="V119" s="31" t="n"/>
      <c r="W119" s="31" t="n"/>
    </row>
    <row r="120">
      <c r="A120" s="31" t="inlineStr">
        <is>
          <t>LENTE PRONTA KODAK</t>
        </is>
      </c>
      <c r="B120" s="32" t="inlineStr">
        <is>
          <t>8352</t>
        </is>
      </c>
      <c r="C120" s="33" t="inlineStr">
        <is>
          <t>1.56</t>
        </is>
      </c>
      <c r="D120" s="31" t="inlineStr">
        <is>
          <t>City</t>
        </is>
      </c>
      <c r="E120" s="34" t="inlineStr">
        <is>
          <t>S</t>
        </is>
      </c>
      <c r="F120" s="34" t="inlineStr">
        <is>
          <t>roxo</t>
        </is>
      </c>
      <c r="G120" s="34" t="n"/>
      <c r="H120" s="31" t="n"/>
      <c r="I120" s="31" t="n"/>
      <c r="J120" s="35" t="n">
        <v>6</v>
      </c>
      <c r="K120" s="35" t="n">
        <v>-6</v>
      </c>
      <c r="L120" s="31" t="inlineStr">
        <is>
          <t>até -2.00</t>
        </is>
      </c>
      <c r="M120" s="31" t="n"/>
      <c r="N120" s="34" t="n"/>
      <c r="O120" s="34" t="n"/>
      <c r="P120" s="31" t="n"/>
      <c r="Q120" s="36">
        <f>IF(A120="","",IFERROR(INDEX('Famílias'!$E:$E,MATCH(A120,'Famílias'!$A:$A,0)),"família não cadastrada"))</f>
        <v/>
      </c>
      <c r="R120" s="37" t="n">
        <v>63.9</v>
      </c>
      <c r="S120" s="37" t="n"/>
      <c r="T120" s="37" t="n"/>
      <c r="U120" s="37" t="n"/>
      <c r="V120" s="31" t="n"/>
      <c r="W120" s="31" t="n"/>
    </row>
    <row r="121">
      <c r="A121" s="31" t="inlineStr">
        <is>
          <t>LENTE PRONTA KODAK</t>
        </is>
      </c>
      <c r="B121" s="32" t="inlineStr">
        <is>
          <t>8348</t>
        </is>
      </c>
      <c r="C121" s="33" t="inlineStr">
        <is>
          <t>1.59</t>
        </is>
      </c>
      <c r="D121" s="31" t="inlineStr">
        <is>
          <t>Intro Poly</t>
        </is>
      </c>
      <c r="E121" s="34" t="n"/>
      <c r="F121" s="34" t="inlineStr">
        <is>
          <t>verde</t>
        </is>
      </c>
      <c r="G121" s="34" t="n"/>
      <c r="H121" s="31" t="n"/>
      <c r="I121" s="31" t="n"/>
      <c r="J121" s="35" t="n">
        <v>4</v>
      </c>
      <c r="K121" s="35" t="n">
        <v>-8</v>
      </c>
      <c r="L121" s="31" t="inlineStr">
        <is>
          <t>até -2.00</t>
        </is>
      </c>
      <c r="M121" s="31" t="n"/>
      <c r="N121" s="34" t="n"/>
      <c r="O121" s="34" t="n"/>
      <c r="P121" s="31" t="n"/>
      <c r="Q121" s="36">
        <f>IF(A121="","",IFERROR(INDEX('Famílias'!$E:$E,MATCH(A121,'Famílias'!$A:$A,0)),"família não cadastrada"))</f>
        <v/>
      </c>
      <c r="R121" s="37" t="n">
        <v>41.9</v>
      </c>
      <c r="S121" s="37" t="n"/>
      <c r="T121" s="37" t="n"/>
      <c r="U121" s="37" t="n"/>
      <c r="V121" s="31" t="n"/>
      <c r="W121" s="31" t="n"/>
    </row>
    <row r="122">
      <c r="A122" s="31" t="inlineStr">
        <is>
          <t>LENTE PRONTA KODAK</t>
        </is>
      </c>
      <c r="B122" s="32" t="inlineStr">
        <is>
          <t>8350</t>
        </is>
      </c>
      <c r="C122" s="33" t="inlineStr">
        <is>
          <t>1.59</t>
        </is>
      </c>
      <c r="D122" s="31" t="inlineStr">
        <is>
          <t>Blue Poly</t>
        </is>
      </c>
      <c r="E122" s="34" t="inlineStr">
        <is>
          <t>S</t>
        </is>
      </c>
      <c r="F122" s="34" t="inlineStr">
        <is>
          <t>verde</t>
        </is>
      </c>
      <c r="G122" s="34" t="n"/>
      <c r="H122" s="31" t="n"/>
      <c r="I122" s="31" t="n"/>
      <c r="J122" s="35" t="n">
        <v>4</v>
      </c>
      <c r="K122" s="35" t="n">
        <v>-6</v>
      </c>
      <c r="L122" s="31" t="inlineStr">
        <is>
          <t>até -2.00</t>
        </is>
      </c>
      <c r="M122" s="31" t="n"/>
      <c r="N122" s="34" t="n"/>
      <c r="O122" s="34" t="n"/>
      <c r="P122" s="31" t="n"/>
      <c r="Q122" s="36">
        <f>IF(A122="","",IFERROR(INDEX('Famílias'!$E:$E,MATCH(A122,'Famílias'!$A:$A,0)),"família não cadastrada"))</f>
        <v/>
      </c>
      <c r="R122" s="37" t="n">
        <v>59.9</v>
      </c>
      <c r="S122" s="37" t="n"/>
      <c r="T122" s="37" t="n"/>
      <c r="U122" s="37" t="n"/>
      <c r="V122" s="31" t="n"/>
      <c r="W122" s="31" t="n"/>
    </row>
    <row r="123">
      <c r="A123" s="31" t="inlineStr">
        <is>
          <t>LENTE PRONTA KODAK</t>
        </is>
      </c>
      <c r="B123" s="32" t="inlineStr">
        <is>
          <t>8353</t>
        </is>
      </c>
      <c r="C123" s="33" t="inlineStr">
        <is>
          <t>1.59</t>
        </is>
      </c>
      <c r="D123" s="31" t="inlineStr">
        <is>
          <t>City Poly</t>
        </is>
      </c>
      <c r="E123" s="34" t="inlineStr">
        <is>
          <t>S</t>
        </is>
      </c>
      <c r="F123" s="34" t="inlineStr">
        <is>
          <t>roxo</t>
        </is>
      </c>
      <c r="G123" s="34" t="n"/>
      <c r="H123" s="31" t="n"/>
      <c r="I123" s="31" t="n"/>
      <c r="J123" s="35" t="n">
        <v>4</v>
      </c>
      <c r="K123" s="35" t="n">
        <v>-8</v>
      </c>
      <c r="L123" s="31" t="inlineStr">
        <is>
          <t>até -2.00</t>
        </is>
      </c>
      <c r="M123" s="31" t="n"/>
      <c r="N123" s="34" t="n"/>
      <c r="O123" s="34" t="n"/>
      <c r="P123" s="31" t="n"/>
      <c r="Q123" s="36">
        <f>IF(A123="","",IFERROR(INDEX('Famílias'!$E:$E,MATCH(A123,'Famílias'!$A:$A,0)),"família não cadastrada"))</f>
        <v/>
      </c>
      <c r="R123" s="37" t="n">
        <v>91.90000000000001</v>
      </c>
      <c r="S123" s="37" t="n"/>
      <c r="T123" s="37" t="n"/>
      <c r="U123" s="37" t="n"/>
      <c r="V123" s="31" t="n"/>
      <c r="W123" s="31" t="n"/>
    </row>
    <row r="124">
      <c r="A124" s="31" t="inlineStr">
        <is>
          <t>LENTE PRONTA KODAK</t>
        </is>
      </c>
      <c r="B124" s="32" t="inlineStr">
        <is>
          <t>8351</t>
        </is>
      </c>
      <c r="C124" s="33" t="inlineStr">
        <is>
          <t>1.67</t>
        </is>
      </c>
      <c r="D124" s="31" t="inlineStr">
        <is>
          <t>Blue</t>
        </is>
      </c>
      <c r="E124" s="34" t="inlineStr">
        <is>
          <t>S</t>
        </is>
      </c>
      <c r="F124" s="34" t="inlineStr">
        <is>
          <t>verde</t>
        </is>
      </c>
      <c r="G124" s="34" t="n"/>
      <c r="H124" s="31" t="n"/>
      <c r="I124" s="31" t="n"/>
      <c r="J124" s="35" t="n">
        <v>6</v>
      </c>
      <c r="K124" s="35" t="n">
        <v>-10</v>
      </c>
      <c r="L124" s="31" t="inlineStr">
        <is>
          <t>até -2.00</t>
        </is>
      </c>
      <c r="M124" s="31" t="n"/>
      <c r="N124" s="34" t="n"/>
      <c r="O124" s="34" t="n"/>
      <c r="P124" s="31" t="n"/>
      <c r="Q124" s="36">
        <f>IF(A124="","",IFERROR(INDEX('Famílias'!$E:$E,MATCH(A124,'Famílias'!$A:$A,0)),"família não cadastrada"))</f>
        <v/>
      </c>
      <c r="R124" s="37" t="n">
        <v>137.9</v>
      </c>
      <c r="S124" s="37" t="n"/>
      <c r="T124" s="37" t="n"/>
      <c r="U124" s="37" t="n"/>
      <c r="V124" s="31" t="n"/>
      <c r="W124" s="31" t="n"/>
    </row>
    <row r="125">
      <c r="A125" s="31" t="inlineStr">
        <is>
          <t>LENTE PRONTA KODAK</t>
        </is>
      </c>
      <c r="B125" s="32" t="inlineStr">
        <is>
          <t>8354</t>
        </is>
      </c>
      <c r="C125" s="33" t="inlineStr">
        <is>
          <t>1.67</t>
        </is>
      </c>
      <c r="D125" s="31" t="inlineStr">
        <is>
          <t>City</t>
        </is>
      </c>
      <c r="E125" s="34" t="inlineStr">
        <is>
          <t>S</t>
        </is>
      </c>
      <c r="F125" s="34" t="inlineStr">
        <is>
          <t>roxo</t>
        </is>
      </c>
      <c r="G125" s="34" t="n"/>
      <c r="H125" s="31" t="n"/>
      <c r="I125" s="31" t="n"/>
      <c r="J125" s="35" t="n">
        <v>0</v>
      </c>
      <c r="K125" s="35" t="n">
        <v>-10</v>
      </c>
      <c r="L125" s="31" t="inlineStr">
        <is>
          <t>até -2.00</t>
        </is>
      </c>
      <c r="M125" s="31" t="n"/>
      <c r="N125" s="34" t="n"/>
      <c r="O125" s="34" t="n"/>
      <c r="P125" s="31" t="inlineStr">
        <is>
          <t>Esf. -10.25 a -12.00 sem cil.</t>
        </is>
      </c>
      <c r="Q125" s="36">
        <f>IF(A125="","",IFERROR(INDEX('Famílias'!$E:$E,MATCH(A125,'Famílias'!$A:$A,0)),"família não cadastrada"))</f>
        <v/>
      </c>
      <c r="R125" s="37" t="n">
        <v>189.9</v>
      </c>
      <c r="S125" s="37" t="n"/>
      <c r="T125" s="37" t="n"/>
      <c r="U125" s="37" t="n"/>
      <c r="V125" s="31" t="n"/>
      <c r="W125" s="31" t="n"/>
    </row>
    <row r="126">
      <c r="A126" s="38" t="inlineStr">
        <is>
          <t>LENTE PRONTA ESSILOR</t>
        </is>
      </c>
      <c r="B126" s="39" t="inlineStr">
        <is>
          <t>0424</t>
        </is>
      </c>
      <c r="C126" s="40" t="inlineStr">
        <is>
          <t>1.50</t>
        </is>
      </c>
      <c r="D126" s="38" t="inlineStr">
        <is>
          <t>Orma Crizal Easy Pro</t>
        </is>
      </c>
      <c r="E126" s="41" t="inlineStr">
        <is>
          <t>S</t>
        </is>
      </c>
      <c r="F126" s="41" t="inlineStr">
        <is>
          <t>verde</t>
        </is>
      </c>
      <c r="G126" s="41" t="n"/>
      <c r="H126" s="38" t="n"/>
      <c r="I126" s="38" t="n"/>
      <c r="J126" s="42" t="n">
        <v>4</v>
      </c>
      <c r="K126" s="42" t="n">
        <v>-4</v>
      </c>
      <c r="L126" s="38" t="inlineStr">
        <is>
          <t>até -2.00</t>
        </is>
      </c>
      <c r="M126" s="38" t="n"/>
      <c r="N126" s="41" t="n"/>
      <c r="O126" s="41" t="n"/>
      <c r="P126" s="38" t="n"/>
      <c r="Q126" s="43">
        <f>IF(A126="","",IFERROR(INDEX('Famílias'!$E:$E,MATCH(A126,'Famílias'!$A:$A,0)),"família não cadastrada"))</f>
        <v/>
      </c>
      <c r="R126" s="44" t="n">
        <v>115.9</v>
      </c>
      <c r="S126" s="44" t="n"/>
      <c r="T126" s="44" t="n"/>
      <c r="U126" s="44" t="n"/>
      <c r="V126" s="38" t="n"/>
      <c r="W126" s="38" t="n"/>
    </row>
    <row r="127">
      <c r="A127" s="31" t="inlineStr">
        <is>
          <t>LENTE PRONTA ESSILOR</t>
        </is>
      </c>
      <c r="B127" s="32" t="inlineStr">
        <is>
          <t>0753</t>
        </is>
      </c>
      <c r="C127" s="33" t="inlineStr">
        <is>
          <t>1.50</t>
        </is>
      </c>
      <c r="D127" s="31" t="inlineStr">
        <is>
          <t>Orma Crizal Rock</t>
        </is>
      </c>
      <c r="E127" s="34" t="inlineStr">
        <is>
          <t>S</t>
        </is>
      </c>
      <c r="F127" s="34" t="inlineStr">
        <is>
          <t>verde</t>
        </is>
      </c>
      <c r="G127" s="34" t="n"/>
      <c r="H127" s="31" t="n"/>
      <c r="I127" s="31" t="n"/>
      <c r="J127" s="35" t="n">
        <v>4</v>
      </c>
      <c r="K127" s="35" t="n">
        <v>-4</v>
      </c>
      <c r="L127" s="31" t="inlineStr">
        <is>
          <t>até -2.00</t>
        </is>
      </c>
      <c r="M127" s="31" t="n"/>
      <c r="N127" s="34" t="n"/>
      <c r="O127" s="34" t="n"/>
      <c r="P127" s="31" t="n"/>
      <c r="Q127" s="36">
        <f>IF(A127="","",IFERROR(INDEX('Famílias'!$E:$E,MATCH(A127,'Famílias'!$A:$A,0)),"família não cadastrada"))</f>
        <v/>
      </c>
      <c r="R127" s="37" t="n">
        <v>159</v>
      </c>
      <c r="S127" s="37" t="n"/>
      <c r="T127" s="37" t="n"/>
      <c r="U127" s="37" t="n"/>
      <c r="V127" s="31" t="n"/>
      <c r="W127" s="31" t="n"/>
    </row>
    <row r="128">
      <c r="A128" s="31" t="inlineStr">
        <is>
          <t>LENTE PRONTA ESSILOR</t>
        </is>
      </c>
      <c r="B128" s="32" t="inlineStr">
        <is>
          <t>0427</t>
        </is>
      </c>
      <c r="C128" s="33" t="inlineStr">
        <is>
          <t>1.50</t>
        </is>
      </c>
      <c r="D128" s="31" t="inlineStr">
        <is>
          <t>Orma Crizal Sapphire HR</t>
        </is>
      </c>
      <c r="E128" s="34" t="inlineStr">
        <is>
          <t>S</t>
        </is>
      </c>
      <c r="F128" s="34" t="inlineStr">
        <is>
          <t>azul</t>
        </is>
      </c>
      <c r="G128" s="34" t="n"/>
      <c r="H128" s="31" t="n"/>
      <c r="I128" s="31" t="n"/>
      <c r="J128" s="35" t="n">
        <v>4</v>
      </c>
      <c r="K128" s="35" t="n">
        <v>-4</v>
      </c>
      <c r="L128" s="31" t="inlineStr">
        <is>
          <t>até -2.00</t>
        </is>
      </c>
      <c r="M128" s="31" t="n"/>
      <c r="N128" s="34" t="n"/>
      <c r="O128" s="34" t="n"/>
      <c r="P128" s="31" t="n"/>
      <c r="Q128" s="36">
        <f>IF(A128="","",IFERROR(INDEX('Famílias'!$E:$E,MATCH(A128,'Famílias'!$A:$A,0)),"família não cadastrada"))</f>
        <v/>
      </c>
      <c r="R128" s="37" t="n">
        <v>205.9</v>
      </c>
      <c r="S128" s="37" t="n"/>
      <c r="T128" s="37" t="n"/>
      <c r="U128" s="37" t="n"/>
      <c r="V128" s="31" t="n"/>
      <c r="W128" s="31" t="n"/>
    </row>
    <row r="129">
      <c r="A129" s="31" t="inlineStr">
        <is>
          <t>LENTE PRONTA ESSILOR</t>
        </is>
      </c>
      <c r="B129" s="32" t="inlineStr">
        <is>
          <t>0431</t>
        </is>
      </c>
      <c r="C129" s="33" t="inlineStr">
        <is>
          <t>1.50</t>
        </is>
      </c>
      <c r="D129" s="31" t="inlineStr">
        <is>
          <t>Orma Transitions Gen S Cinza</t>
        </is>
      </c>
      <c r="E129" s="34" t="inlineStr">
        <is>
          <t>S</t>
        </is>
      </c>
      <c r="F129" s="34" t="n"/>
      <c r="G129" s="34" t="n"/>
      <c r="H129" s="31" t="n"/>
      <c r="I129" s="31" t="n"/>
      <c r="J129" s="35" t="n">
        <v>4</v>
      </c>
      <c r="K129" s="35" t="n">
        <v>-4</v>
      </c>
      <c r="L129" s="31" t="inlineStr">
        <is>
          <t>até -2.00</t>
        </is>
      </c>
      <c r="M129" s="31" t="n"/>
      <c r="N129" s="34" t="n"/>
      <c r="O129" s="34" t="n"/>
      <c r="P129" s="31" t="n"/>
      <c r="Q129" s="36">
        <f>IF(A129="","",IFERROR(INDEX('Famílias'!$E:$E,MATCH(A129,'Famílias'!$A:$A,0)),"família não cadastrada"))</f>
        <v/>
      </c>
      <c r="R129" s="37" t="n">
        <v>139.9</v>
      </c>
      <c r="S129" s="37" t="n"/>
      <c r="T129" s="37" t="n"/>
      <c r="U129" s="37" t="n"/>
      <c r="V129" s="31" t="n"/>
      <c r="W129" s="31" t="n"/>
    </row>
    <row r="130">
      <c r="A130" s="31" t="inlineStr">
        <is>
          <t>LENTE PRONTA ESSILOR</t>
        </is>
      </c>
      <c r="B130" s="32" t="inlineStr">
        <is>
          <t>8356</t>
        </is>
      </c>
      <c r="C130" s="33" t="inlineStr">
        <is>
          <t>1.50</t>
        </is>
      </c>
      <c r="D130" s="31" t="inlineStr">
        <is>
          <t>Orma Transitions Gen S Cinza Crizal Easy Pro</t>
        </is>
      </c>
      <c r="E130" s="34" t="inlineStr">
        <is>
          <t>S</t>
        </is>
      </c>
      <c r="F130" s="34" t="inlineStr">
        <is>
          <t>verde</t>
        </is>
      </c>
      <c r="G130" s="34" t="n"/>
      <c r="H130" s="31" t="n"/>
      <c r="I130" s="31" t="n"/>
      <c r="J130" s="35" t="n">
        <v>4</v>
      </c>
      <c r="K130" s="35" t="n">
        <v>-4</v>
      </c>
      <c r="L130" s="31" t="inlineStr">
        <is>
          <t>até -2.00</t>
        </is>
      </c>
      <c r="M130" s="31" t="n"/>
      <c r="N130" s="34" t="n"/>
      <c r="O130" s="34" t="n"/>
      <c r="P130" s="31" t="n"/>
      <c r="Q130" s="36">
        <f>IF(A130="","",IFERROR(INDEX('Famílias'!$E:$E,MATCH(A130,'Famílias'!$A:$A,0)),"família não cadastrada"))</f>
        <v/>
      </c>
      <c r="R130" s="37" t="n">
        <v>259</v>
      </c>
      <c r="S130" s="37" t="n"/>
      <c r="T130" s="37" t="n"/>
      <c r="U130" s="37" t="n"/>
      <c r="V130" s="31" t="n"/>
      <c r="W130" s="31" t="n"/>
    </row>
    <row r="131">
      <c r="A131" s="31" t="inlineStr">
        <is>
          <t>LENTE PRONTA ESSILOR</t>
        </is>
      </c>
      <c r="B131" s="32" t="inlineStr">
        <is>
          <t>8358</t>
        </is>
      </c>
      <c r="C131" s="33" t="inlineStr">
        <is>
          <t>1.59</t>
        </is>
      </c>
      <c r="D131" s="31" t="inlineStr">
        <is>
          <t>Airwear Crizal Easy Pro</t>
        </is>
      </c>
      <c r="E131" s="34" t="inlineStr">
        <is>
          <t>S</t>
        </is>
      </c>
      <c r="F131" s="34" t="inlineStr">
        <is>
          <t>verde</t>
        </is>
      </c>
      <c r="G131" s="34" t="n"/>
      <c r="H131" s="31" t="n"/>
      <c r="I131" s="31" t="n"/>
      <c r="J131" s="35" t="n">
        <v>4</v>
      </c>
      <c r="K131" s="35" t="n">
        <v>-8</v>
      </c>
      <c r="L131" s="31" t="inlineStr">
        <is>
          <t>até -2.00</t>
        </is>
      </c>
      <c r="M131" s="31" t="n"/>
      <c r="N131" s="34" t="n"/>
      <c r="O131" s="34" t="n"/>
      <c r="P131" s="31" t="n"/>
      <c r="Q131" s="36">
        <f>IF(A131="","",IFERROR(INDEX('Famílias'!$E:$E,MATCH(A131,'Famílias'!$A:$A,0)),"família não cadastrada"))</f>
        <v/>
      </c>
      <c r="R131" s="37" t="n">
        <v>159</v>
      </c>
      <c r="S131" s="37" t="n"/>
      <c r="T131" s="37" t="n"/>
      <c r="U131" s="37" t="n"/>
      <c r="V131" s="31" t="n"/>
      <c r="W131" s="31" t="n"/>
    </row>
    <row r="132">
      <c r="A132" s="31" t="inlineStr">
        <is>
          <t>LENTE PRONTA ESSILOR</t>
        </is>
      </c>
      <c r="B132" s="32" t="inlineStr">
        <is>
          <t>8359</t>
        </is>
      </c>
      <c r="C132" s="33" t="inlineStr">
        <is>
          <t>1.59</t>
        </is>
      </c>
      <c r="D132" s="31" t="inlineStr">
        <is>
          <t>Airwear Crizal Rock</t>
        </is>
      </c>
      <c r="E132" s="34" t="inlineStr">
        <is>
          <t>S</t>
        </is>
      </c>
      <c r="F132" s="34" t="inlineStr">
        <is>
          <t>verde</t>
        </is>
      </c>
      <c r="G132" s="34" t="n"/>
      <c r="H132" s="31" t="n"/>
      <c r="I132" s="31" t="n"/>
      <c r="J132" s="35" t="n">
        <v>4</v>
      </c>
      <c r="K132" s="35" t="n">
        <v>-5</v>
      </c>
      <c r="L132" s="31" t="inlineStr">
        <is>
          <t>até -2.00</t>
        </is>
      </c>
      <c r="M132" s="31" t="n"/>
      <c r="N132" s="34" t="n"/>
      <c r="O132" s="34" t="n"/>
      <c r="P132" s="31" t="n"/>
      <c r="Q132" s="36">
        <f>IF(A132="","",IFERROR(INDEX('Famílias'!$E:$E,MATCH(A132,'Famílias'!$A:$A,0)),"família não cadastrada"))</f>
        <v/>
      </c>
      <c r="R132" s="37" t="n">
        <v>215</v>
      </c>
      <c r="S132" s="37" t="n"/>
      <c r="T132" s="37" t="n"/>
      <c r="U132" s="37" t="n"/>
      <c r="V132" s="31" t="n"/>
      <c r="W132" s="31" t="n"/>
    </row>
    <row r="133">
      <c r="A133" s="31" t="inlineStr">
        <is>
          <t>LENTE PRONTA ESSILOR</t>
        </is>
      </c>
      <c r="B133" s="32" t="inlineStr">
        <is>
          <t>8360</t>
        </is>
      </c>
      <c r="C133" s="33" t="inlineStr">
        <is>
          <t>1.59</t>
        </is>
      </c>
      <c r="D133" s="31" t="inlineStr">
        <is>
          <t>Airwear Crizal Sapphire HR</t>
        </is>
      </c>
      <c r="E133" s="34" t="inlineStr">
        <is>
          <t>S</t>
        </is>
      </c>
      <c r="F133" s="34" t="inlineStr">
        <is>
          <t>azul</t>
        </is>
      </c>
      <c r="G133" s="34" t="n"/>
      <c r="H133" s="31" t="n"/>
      <c r="I133" s="31" t="n"/>
      <c r="J133" s="35" t="n">
        <v>4</v>
      </c>
      <c r="K133" s="35" t="n">
        <v>-5</v>
      </c>
      <c r="L133" s="31" t="inlineStr">
        <is>
          <t>até -2.00</t>
        </is>
      </c>
      <c r="M133" s="31" t="n"/>
      <c r="N133" s="34" t="n"/>
      <c r="O133" s="34" t="n"/>
      <c r="P133" s="31" t="n"/>
      <c r="Q133" s="36">
        <f>IF(A133="","",IFERROR(INDEX('Famílias'!$E:$E,MATCH(A133,'Famílias'!$A:$A,0)),"família não cadastrada"))</f>
        <v/>
      </c>
      <c r="R133" s="37" t="n">
        <v>249</v>
      </c>
      <c r="S133" s="37" t="n"/>
      <c r="T133" s="37" t="n"/>
      <c r="U133" s="37" t="n"/>
      <c r="V133" s="31" t="n"/>
      <c r="W133" s="31" t="n"/>
    </row>
    <row r="134">
      <c r="A134" s="31" t="inlineStr">
        <is>
          <t>LENTE PRONTA ESSILOR</t>
        </is>
      </c>
      <c r="B134" s="32" t="inlineStr">
        <is>
          <t>8361</t>
        </is>
      </c>
      <c r="C134" s="33" t="inlineStr">
        <is>
          <t>1.59</t>
        </is>
      </c>
      <c r="D134" s="31" t="inlineStr">
        <is>
          <t>Airwear Transitions Gen S Cinza</t>
        </is>
      </c>
      <c r="E134" s="34" t="inlineStr">
        <is>
          <t>S</t>
        </is>
      </c>
      <c r="F134" s="34" t="n"/>
      <c r="G134" s="34" t="n"/>
      <c r="H134" s="31" t="n"/>
      <c r="I134" s="31" t="n"/>
      <c r="J134" s="35" t="n">
        <v>4</v>
      </c>
      <c r="K134" s="35" t="n">
        <v>-5</v>
      </c>
      <c r="L134" s="31" t="inlineStr">
        <is>
          <t>até -2.00</t>
        </is>
      </c>
      <c r="M134" s="31" t="n"/>
      <c r="N134" s="34" t="n"/>
      <c r="O134" s="34" t="n"/>
      <c r="P134" s="31" t="n"/>
      <c r="Q134" s="36">
        <f>IF(A134="","",IFERROR(INDEX('Famílias'!$E:$E,MATCH(A134,'Famílias'!$A:$A,0)),"família não cadastrada"))</f>
        <v/>
      </c>
      <c r="R134" s="37" t="n">
        <v>189</v>
      </c>
      <c r="S134" s="37" t="n"/>
      <c r="T134" s="37" t="n"/>
      <c r="U134" s="37" t="n"/>
      <c r="V134" s="31" t="n"/>
      <c r="W134" s="31" t="n"/>
    </row>
    <row r="135">
      <c r="A135" s="31" t="inlineStr">
        <is>
          <t>LENTE PRONTA ESSILOR</t>
        </is>
      </c>
      <c r="B135" s="32" t="inlineStr">
        <is>
          <t>8362</t>
        </is>
      </c>
      <c r="C135" s="33" t="inlineStr">
        <is>
          <t>1.59</t>
        </is>
      </c>
      <c r="D135" s="31" t="inlineStr">
        <is>
          <t>Airwear Crizal Sapphire HR Transitions Gen S Cinza</t>
        </is>
      </c>
      <c r="E135" s="34" t="inlineStr">
        <is>
          <t>S</t>
        </is>
      </c>
      <c r="F135" s="34" t="inlineStr">
        <is>
          <t>azul</t>
        </is>
      </c>
      <c r="G135" s="34" t="n"/>
      <c r="H135" s="31" t="n"/>
      <c r="I135" s="31" t="n"/>
      <c r="J135" s="35" t="n">
        <v>4</v>
      </c>
      <c r="K135" s="35" t="n">
        <v>-5</v>
      </c>
      <c r="L135" s="31" t="inlineStr">
        <is>
          <t>até -2.00</t>
        </is>
      </c>
      <c r="M135" s="31" t="n"/>
      <c r="N135" s="34" t="n"/>
      <c r="O135" s="34" t="n"/>
      <c r="P135" s="31" t="n"/>
      <c r="Q135" s="36">
        <f>IF(A135="","",IFERROR(INDEX('Famílias'!$E:$E,MATCH(A135,'Famílias'!$A:$A,0)),"família não cadastrada"))</f>
        <v/>
      </c>
      <c r="R135" s="37" t="n">
        <v>345</v>
      </c>
      <c r="S135" s="37" t="n"/>
      <c r="T135" s="37" t="n"/>
      <c r="U135" s="37" t="n"/>
      <c r="V135" s="31" t="n"/>
      <c r="W135" s="31" t="n"/>
    </row>
    <row r="136">
      <c r="A136" s="31" t="inlineStr">
        <is>
          <t>LENTE PRONTA ESSILOR</t>
        </is>
      </c>
      <c r="B136" s="32" t="inlineStr">
        <is>
          <t>8363</t>
        </is>
      </c>
      <c r="C136" s="33" t="inlineStr">
        <is>
          <t>1.67</t>
        </is>
      </c>
      <c r="D136" s="31" t="inlineStr">
        <is>
          <t>Stylis Crizal Sapphire HR</t>
        </is>
      </c>
      <c r="E136" s="34" t="inlineStr">
        <is>
          <t>S</t>
        </is>
      </c>
      <c r="F136" s="34" t="inlineStr">
        <is>
          <t>azul</t>
        </is>
      </c>
      <c r="G136" s="34" t="n"/>
      <c r="H136" s="31" t="n"/>
      <c r="I136" s="31" t="n"/>
      <c r="J136" s="35" t="n">
        <v>5</v>
      </c>
      <c r="K136" s="35" t="n">
        <v>-9</v>
      </c>
      <c r="L136" s="31" t="inlineStr">
        <is>
          <t>até -2.00</t>
        </is>
      </c>
      <c r="M136" s="31" t="n"/>
      <c r="N136" s="34" t="n"/>
      <c r="O136" s="34" t="n"/>
      <c r="P136" s="31" t="n"/>
      <c r="Q136" s="36">
        <f>IF(A136="","",IFERROR(INDEX('Famílias'!$E:$E,MATCH(A136,'Famílias'!$A:$A,0)),"família não cadastrada"))</f>
        <v/>
      </c>
      <c r="R136" s="37" t="n">
        <v>399.9</v>
      </c>
      <c r="S136" s="37" t="n"/>
      <c r="T136" s="37" t="n"/>
      <c r="U136" s="37" t="n"/>
      <c r="V136" s="31" t="n"/>
      <c r="W136" s="31" t="n"/>
    </row>
    <row r="137">
      <c r="A137" s="31" t="inlineStr">
        <is>
          <t>LENTE PRONTA ESSILOR</t>
        </is>
      </c>
      <c r="B137" s="32" t="inlineStr">
        <is>
          <t>8364</t>
        </is>
      </c>
      <c r="C137" s="33" t="inlineStr">
        <is>
          <t>1.74</t>
        </is>
      </c>
      <c r="D137" s="31" t="inlineStr">
        <is>
          <t>Stylis Crizal Sapphire HR</t>
        </is>
      </c>
      <c r="E137" s="34" t="n"/>
      <c r="F137" s="34" t="inlineStr">
        <is>
          <t>azul</t>
        </is>
      </c>
      <c r="G137" s="34" t="n"/>
      <c r="H137" s="31" t="n"/>
      <c r="I137" s="31" t="n"/>
      <c r="J137" s="35" t="n">
        <v>-4</v>
      </c>
      <c r="K137" s="35" t="n">
        <v>-10</v>
      </c>
      <c r="L137" s="31" t="inlineStr">
        <is>
          <t>até -2.00</t>
        </is>
      </c>
      <c r="M137" s="31" t="n"/>
      <c r="N137" s="34" t="n"/>
      <c r="O137" s="34" t="n"/>
      <c r="P137" s="31" t="n"/>
      <c r="Q137" s="36">
        <f>IF(A137="","",IFERROR(INDEX('Famílias'!$E:$E,MATCH(A137,'Famílias'!$A:$A,0)),"família não cadastrada"))</f>
        <v/>
      </c>
      <c r="R137" s="37" t="n">
        <v>579.9</v>
      </c>
      <c r="S137" s="37" t="n"/>
      <c r="T137" s="37" t="n"/>
      <c r="U137" s="37" t="n"/>
      <c r="V137" s="31" t="n"/>
      <c r="W137" s="31" t="n"/>
    </row>
    <row r="138">
      <c r="B138" s="45" t="n"/>
      <c r="C138" s="46" t="n"/>
      <c r="E138" s="47" t="n"/>
      <c r="F138" s="47" t="n"/>
      <c r="G138" s="47" t="n"/>
      <c r="J138" s="48" t="n"/>
      <c r="K138" s="48" t="n"/>
      <c r="N138" s="47" t="n"/>
      <c r="O138" s="47" t="n"/>
      <c r="Q138" s="49">
        <f>IF(A138="","",IFERROR(INDEX('Famílias'!$E:$E,MATCH(A138,'Famílias'!$A:$A,0)),"família não cadastrada"))</f>
        <v/>
      </c>
      <c r="R138" s="50" t="n"/>
      <c r="S138" s="50" t="n"/>
      <c r="T138" s="50" t="n"/>
      <c r="U138" s="50" t="n"/>
    </row>
    <row r="139">
      <c r="B139" s="45" t="n"/>
      <c r="C139" s="46" t="n"/>
      <c r="E139" s="47" t="n"/>
      <c r="F139" s="47" t="n"/>
      <c r="G139" s="47" t="n"/>
      <c r="J139" s="48" t="n"/>
      <c r="K139" s="48" t="n"/>
      <c r="N139" s="47" t="n"/>
      <c r="O139" s="47" t="n"/>
      <c r="Q139" s="49">
        <f>IF(A139="","",IFERROR(INDEX('Famílias'!$E:$E,MATCH(A139,'Famílias'!$A:$A,0)),"família não cadastrada"))</f>
        <v/>
      </c>
      <c r="R139" s="50" t="n"/>
      <c r="S139" s="50" t="n"/>
      <c r="T139" s="50" t="n"/>
      <c r="U139" s="50" t="n"/>
    </row>
    <row r="140">
      <c r="B140" s="45" t="n"/>
      <c r="C140" s="46" t="n"/>
      <c r="E140" s="47" t="n"/>
      <c r="F140" s="47" t="n"/>
      <c r="G140" s="47" t="n"/>
      <c r="J140" s="48" t="n"/>
      <c r="K140" s="48" t="n"/>
      <c r="N140" s="47" t="n"/>
      <c r="O140" s="47" t="n"/>
      <c r="Q140" s="49">
        <f>IF(A140="","",IFERROR(INDEX('Famílias'!$E:$E,MATCH(A140,'Famílias'!$A:$A,0)),"família não cadastrada"))</f>
        <v/>
      </c>
      <c r="R140" s="50" t="n"/>
      <c r="S140" s="50" t="n"/>
      <c r="T140" s="50" t="n"/>
      <c r="U140" s="50" t="n"/>
    </row>
    <row r="141">
      <c r="B141" s="45" t="n"/>
      <c r="C141" s="46" t="n"/>
      <c r="E141" s="47" t="n"/>
      <c r="F141" s="47" t="n"/>
      <c r="G141" s="47" t="n"/>
      <c r="J141" s="48" t="n"/>
      <c r="K141" s="48" t="n"/>
      <c r="N141" s="47" t="n"/>
      <c r="O141" s="47" t="n"/>
      <c r="Q141" s="49">
        <f>IF(A141="","",IFERROR(INDEX('Famílias'!$E:$E,MATCH(A141,'Famílias'!$A:$A,0)),"família não cadastrada"))</f>
        <v/>
      </c>
      <c r="R141" s="50" t="n"/>
      <c r="S141" s="50" t="n"/>
      <c r="T141" s="50" t="n"/>
      <c r="U141" s="50" t="n"/>
    </row>
    <row r="142">
      <c r="B142" s="45" t="n"/>
      <c r="C142" s="46" t="n"/>
      <c r="E142" s="47" t="n"/>
      <c r="F142" s="47" t="n"/>
      <c r="G142" s="47" t="n"/>
      <c r="J142" s="48" t="n"/>
      <c r="K142" s="48" t="n"/>
      <c r="N142" s="47" t="n"/>
      <c r="O142" s="47" t="n"/>
      <c r="Q142" s="49">
        <f>IF(A142="","",IFERROR(INDEX('Famílias'!$E:$E,MATCH(A142,'Famílias'!$A:$A,0)),"família não cadastrada"))</f>
        <v/>
      </c>
      <c r="R142" s="50" t="n"/>
      <c r="S142" s="50" t="n"/>
      <c r="T142" s="50" t="n"/>
      <c r="U142" s="50" t="n"/>
    </row>
    <row r="143">
      <c r="B143" s="45" t="n"/>
      <c r="C143" s="46" t="n"/>
      <c r="E143" s="47" t="n"/>
      <c r="F143" s="47" t="n"/>
      <c r="G143" s="47" t="n"/>
      <c r="J143" s="48" t="n"/>
      <c r="K143" s="48" t="n"/>
      <c r="N143" s="47" t="n"/>
      <c r="O143" s="47" t="n"/>
      <c r="Q143" s="49">
        <f>IF(A143="","",IFERROR(INDEX('Famílias'!$E:$E,MATCH(A143,'Famílias'!$A:$A,0)),"família não cadastrada"))</f>
        <v/>
      </c>
      <c r="R143" s="50" t="n"/>
      <c r="S143" s="50" t="n"/>
      <c r="T143" s="50" t="n"/>
      <c r="U143" s="50" t="n"/>
    </row>
    <row r="144">
      <c r="B144" s="45" t="n"/>
      <c r="C144" s="46" t="n"/>
      <c r="E144" s="47" t="n"/>
      <c r="F144" s="47" t="n"/>
      <c r="G144" s="47" t="n"/>
      <c r="J144" s="48" t="n"/>
      <c r="K144" s="48" t="n"/>
      <c r="N144" s="47" t="n"/>
      <c r="O144" s="47" t="n"/>
      <c r="Q144" s="49">
        <f>IF(A144="","",IFERROR(INDEX('Famílias'!$E:$E,MATCH(A144,'Famílias'!$A:$A,0)),"família não cadastrada"))</f>
        <v/>
      </c>
      <c r="R144" s="50" t="n"/>
      <c r="S144" s="50" t="n"/>
      <c r="T144" s="50" t="n"/>
      <c r="U144" s="50" t="n"/>
    </row>
    <row r="145">
      <c r="B145" s="45" t="n"/>
      <c r="C145" s="46" t="n"/>
      <c r="E145" s="47" t="n"/>
      <c r="F145" s="47" t="n"/>
      <c r="G145" s="47" t="n"/>
      <c r="J145" s="48" t="n"/>
      <c r="K145" s="48" t="n"/>
      <c r="N145" s="47" t="n"/>
      <c r="O145" s="47" t="n"/>
      <c r="Q145" s="49">
        <f>IF(A145="","",IFERROR(INDEX('Famílias'!$E:$E,MATCH(A145,'Famílias'!$A:$A,0)),"família não cadastrada"))</f>
        <v/>
      </c>
      <c r="R145" s="50" t="n"/>
      <c r="S145" s="50" t="n"/>
      <c r="T145" s="50" t="n"/>
      <c r="U145" s="50" t="n"/>
    </row>
    <row r="146">
      <c r="B146" s="45" t="n"/>
      <c r="C146" s="46" t="n"/>
      <c r="E146" s="47" t="n"/>
      <c r="F146" s="47" t="n"/>
      <c r="G146" s="47" t="n"/>
      <c r="J146" s="48" t="n"/>
      <c r="K146" s="48" t="n"/>
      <c r="N146" s="47" t="n"/>
      <c r="O146" s="47" t="n"/>
      <c r="Q146" s="49">
        <f>IF(A146="","",IFERROR(INDEX('Famílias'!$E:$E,MATCH(A146,'Famílias'!$A:$A,0)),"família não cadastrada"))</f>
        <v/>
      </c>
      <c r="R146" s="50" t="n"/>
      <c r="S146" s="50" t="n"/>
      <c r="T146" s="50" t="n"/>
      <c r="U146" s="50" t="n"/>
    </row>
    <row r="147">
      <c r="B147" s="45" t="n"/>
      <c r="C147" s="46" t="n"/>
      <c r="E147" s="47" t="n"/>
      <c r="F147" s="47" t="n"/>
      <c r="G147" s="47" t="n"/>
      <c r="J147" s="48" t="n"/>
      <c r="K147" s="48" t="n"/>
      <c r="N147" s="47" t="n"/>
      <c r="O147" s="47" t="n"/>
      <c r="Q147" s="49">
        <f>IF(A147="","",IFERROR(INDEX('Famílias'!$E:$E,MATCH(A147,'Famílias'!$A:$A,0)),"família não cadastrada"))</f>
        <v/>
      </c>
      <c r="R147" s="50" t="n"/>
      <c r="S147" s="50" t="n"/>
      <c r="T147" s="50" t="n"/>
      <c r="U147" s="50" t="n"/>
    </row>
    <row r="148">
      <c r="B148" s="45" t="n"/>
      <c r="C148" s="46" t="n"/>
      <c r="E148" s="47" t="n"/>
      <c r="F148" s="47" t="n"/>
      <c r="G148" s="47" t="n"/>
      <c r="J148" s="48" t="n"/>
      <c r="K148" s="48" t="n"/>
      <c r="N148" s="47" t="n"/>
      <c r="O148" s="47" t="n"/>
      <c r="Q148" s="49">
        <f>IF(A148="","",IFERROR(INDEX('Famílias'!$E:$E,MATCH(A148,'Famílias'!$A:$A,0)),"família não cadastrada"))</f>
        <v/>
      </c>
      <c r="R148" s="50" t="n"/>
      <c r="S148" s="50" t="n"/>
      <c r="T148" s="50" t="n"/>
      <c r="U148" s="50" t="n"/>
    </row>
    <row r="149">
      <c r="B149" s="45" t="n"/>
      <c r="C149" s="46" t="n"/>
      <c r="E149" s="47" t="n"/>
      <c r="F149" s="47" t="n"/>
      <c r="G149" s="47" t="n"/>
      <c r="J149" s="48" t="n"/>
      <c r="K149" s="48" t="n"/>
      <c r="N149" s="47" t="n"/>
      <c r="O149" s="47" t="n"/>
      <c r="Q149" s="49">
        <f>IF(A149="","",IFERROR(INDEX('Famílias'!$E:$E,MATCH(A149,'Famílias'!$A:$A,0)),"família não cadastrada"))</f>
        <v/>
      </c>
      <c r="R149" s="50" t="n"/>
      <c r="S149" s="50" t="n"/>
      <c r="T149" s="50" t="n"/>
      <c r="U149" s="50" t="n"/>
    </row>
    <row r="150">
      <c r="B150" s="45" t="n"/>
      <c r="C150" s="46" t="n"/>
      <c r="E150" s="47" t="n"/>
      <c r="F150" s="47" t="n"/>
      <c r="G150" s="47" t="n"/>
      <c r="J150" s="48" t="n"/>
      <c r="K150" s="48" t="n"/>
      <c r="N150" s="47" t="n"/>
      <c r="O150" s="47" t="n"/>
      <c r="Q150" s="49">
        <f>IF(A150="","",IFERROR(INDEX('Famílias'!$E:$E,MATCH(A150,'Famílias'!$A:$A,0)),"família não cadastrada"))</f>
        <v/>
      </c>
      <c r="R150" s="50" t="n"/>
      <c r="S150" s="50" t="n"/>
      <c r="T150" s="50" t="n"/>
      <c r="U150" s="50" t="n"/>
    </row>
    <row r="151">
      <c r="B151" s="45" t="n"/>
      <c r="C151" s="46" t="n"/>
      <c r="E151" s="47" t="n"/>
      <c r="F151" s="47" t="n"/>
      <c r="G151" s="47" t="n"/>
      <c r="J151" s="48" t="n"/>
      <c r="K151" s="48" t="n"/>
      <c r="N151" s="47" t="n"/>
      <c r="O151" s="47" t="n"/>
      <c r="Q151" s="49">
        <f>IF(A151="","",IFERROR(INDEX('Famílias'!$E:$E,MATCH(A151,'Famílias'!$A:$A,0)),"família não cadastrada"))</f>
        <v/>
      </c>
      <c r="R151" s="50" t="n"/>
      <c r="S151" s="50" t="n"/>
      <c r="T151" s="50" t="n"/>
      <c r="U151" s="50" t="n"/>
    </row>
    <row r="152">
      <c r="B152" s="45" t="n"/>
      <c r="C152" s="46" t="n"/>
      <c r="E152" s="47" t="n"/>
      <c r="F152" s="47" t="n"/>
      <c r="G152" s="47" t="n"/>
      <c r="J152" s="48" t="n"/>
      <c r="K152" s="48" t="n"/>
      <c r="N152" s="47" t="n"/>
      <c r="O152" s="47" t="n"/>
      <c r="Q152" s="49">
        <f>IF(A152="","",IFERROR(INDEX('Famílias'!$E:$E,MATCH(A152,'Famílias'!$A:$A,0)),"família não cadastrada"))</f>
        <v/>
      </c>
      <c r="R152" s="50" t="n"/>
      <c r="S152" s="50" t="n"/>
      <c r="T152" s="50" t="n"/>
      <c r="U152" s="50" t="n"/>
    </row>
    <row r="153">
      <c r="B153" s="45" t="n"/>
      <c r="C153" s="46" t="n"/>
      <c r="E153" s="47" t="n"/>
      <c r="F153" s="47" t="n"/>
      <c r="G153" s="47" t="n"/>
      <c r="J153" s="48" t="n"/>
      <c r="K153" s="48" t="n"/>
      <c r="N153" s="47" t="n"/>
      <c r="O153" s="47" t="n"/>
      <c r="Q153" s="49">
        <f>IF(A153="","",IFERROR(INDEX('Famílias'!$E:$E,MATCH(A153,'Famílias'!$A:$A,0)),"família não cadastrada"))</f>
        <v/>
      </c>
      <c r="R153" s="50" t="n"/>
      <c r="S153" s="50" t="n"/>
      <c r="T153" s="50" t="n"/>
      <c r="U153" s="50" t="n"/>
    </row>
    <row r="154">
      <c r="B154" s="45" t="n"/>
      <c r="C154" s="46" t="n"/>
      <c r="E154" s="47" t="n"/>
      <c r="F154" s="47" t="n"/>
      <c r="G154" s="47" t="n"/>
      <c r="J154" s="48" t="n"/>
      <c r="K154" s="48" t="n"/>
      <c r="N154" s="47" t="n"/>
      <c r="O154" s="47" t="n"/>
      <c r="Q154" s="49">
        <f>IF(A154="","",IFERROR(INDEX('Famílias'!$E:$E,MATCH(A154,'Famílias'!$A:$A,0)),"família não cadastrada"))</f>
        <v/>
      </c>
      <c r="R154" s="50" t="n"/>
      <c r="S154" s="50" t="n"/>
      <c r="T154" s="50" t="n"/>
      <c r="U154" s="50" t="n"/>
    </row>
    <row r="155">
      <c r="B155" s="45" t="n"/>
      <c r="C155" s="46" t="n"/>
      <c r="E155" s="47" t="n"/>
      <c r="F155" s="47" t="n"/>
      <c r="G155" s="47" t="n"/>
      <c r="J155" s="48" t="n"/>
      <c r="K155" s="48" t="n"/>
      <c r="N155" s="47" t="n"/>
      <c r="O155" s="47" t="n"/>
      <c r="Q155" s="49">
        <f>IF(A155="","",IFERROR(INDEX('Famílias'!$E:$E,MATCH(A155,'Famílias'!$A:$A,0)),"família não cadastrada"))</f>
        <v/>
      </c>
      <c r="R155" s="50" t="n"/>
      <c r="S155" s="50" t="n"/>
      <c r="T155" s="50" t="n"/>
      <c r="U155" s="50" t="n"/>
    </row>
    <row r="156">
      <c r="B156" s="45" t="n"/>
      <c r="C156" s="46" t="n"/>
      <c r="E156" s="47" t="n"/>
      <c r="F156" s="47" t="n"/>
      <c r="G156" s="47" t="n"/>
      <c r="J156" s="48" t="n"/>
      <c r="K156" s="48" t="n"/>
      <c r="N156" s="47" t="n"/>
      <c r="O156" s="47" t="n"/>
      <c r="Q156" s="49">
        <f>IF(A156="","",IFERROR(INDEX('Famílias'!$E:$E,MATCH(A156,'Famílias'!$A:$A,0)),"família não cadastrada"))</f>
        <v/>
      </c>
      <c r="R156" s="50" t="n"/>
      <c r="S156" s="50" t="n"/>
      <c r="T156" s="50" t="n"/>
      <c r="U156" s="50" t="n"/>
    </row>
    <row r="157">
      <c r="B157" s="45" t="n"/>
      <c r="C157" s="46" t="n"/>
      <c r="E157" s="47" t="n"/>
      <c r="F157" s="47" t="n"/>
      <c r="G157" s="47" t="n"/>
      <c r="J157" s="48" t="n"/>
      <c r="K157" s="48" t="n"/>
      <c r="N157" s="47" t="n"/>
      <c r="O157" s="47" t="n"/>
      <c r="Q157" s="49">
        <f>IF(A157="","",IFERROR(INDEX('Famílias'!$E:$E,MATCH(A157,'Famílias'!$A:$A,0)),"família não cadastrada"))</f>
        <v/>
      </c>
      <c r="R157" s="50" t="n"/>
      <c r="S157" s="50" t="n"/>
      <c r="T157" s="50" t="n"/>
      <c r="U157" s="50" t="n"/>
    </row>
    <row r="158">
      <c r="B158" s="45" t="n"/>
      <c r="C158" s="46" t="n"/>
      <c r="E158" s="47" t="n"/>
      <c r="F158" s="47" t="n"/>
      <c r="G158" s="47" t="n"/>
      <c r="J158" s="48" t="n"/>
      <c r="K158" s="48" t="n"/>
      <c r="N158" s="47" t="n"/>
      <c r="O158" s="47" t="n"/>
      <c r="Q158" s="49">
        <f>IF(A158="","",IFERROR(INDEX('Famílias'!$E:$E,MATCH(A158,'Famílias'!$A:$A,0)),"família não cadastrada"))</f>
        <v/>
      </c>
      <c r="R158" s="50" t="n"/>
      <c r="S158" s="50" t="n"/>
      <c r="T158" s="50" t="n"/>
      <c r="U158" s="50" t="n"/>
    </row>
    <row r="159">
      <c r="B159" s="45" t="n"/>
      <c r="C159" s="46" t="n"/>
      <c r="E159" s="47" t="n"/>
      <c r="F159" s="47" t="n"/>
      <c r="G159" s="47" t="n"/>
      <c r="J159" s="48" t="n"/>
      <c r="K159" s="48" t="n"/>
      <c r="N159" s="47" t="n"/>
      <c r="O159" s="47" t="n"/>
      <c r="Q159" s="49">
        <f>IF(A159="","",IFERROR(INDEX('Famílias'!$E:$E,MATCH(A159,'Famílias'!$A:$A,0)),"família não cadastrada"))</f>
        <v/>
      </c>
      <c r="R159" s="50" t="n"/>
      <c r="S159" s="50" t="n"/>
      <c r="T159" s="50" t="n"/>
      <c r="U159" s="50" t="n"/>
    </row>
    <row r="160">
      <c r="B160" s="45" t="n"/>
      <c r="C160" s="46" t="n"/>
      <c r="E160" s="47" t="n"/>
      <c r="F160" s="47" t="n"/>
      <c r="G160" s="47" t="n"/>
      <c r="J160" s="48" t="n"/>
      <c r="K160" s="48" t="n"/>
      <c r="N160" s="47" t="n"/>
      <c r="O160" s="47" t="n"/>
      <c r="Q160" s="49">
        <f>IF(A160="","",IFERROR(INDEX('Famílias'!$E:$E,MATCH(A160,'Famílias'!$A:$A,0)),"família não cadastrada"))</f>
        <v/>
      </c>
      <c r="R160" s="50" t="n"/>
      <c r="S160" s="50" t="n"/>
      <c r="T160" s="50" t="n"/>
      <c r="U160" s="50" t="n"/>
    </row>
    <row r="161">
      <c r="B161" s="45" t="n"/>
      <c r="C161" s="46" t="n"/>
      <c r="E161" s="47" t="n"/>
      <c r="F161" s="47" t="n"/>
      <c r="G161" s="47" t="n"/>
      <c r="J161" s="48" t="n"/>
      <c r="K161" s="48" t="n"/>
      <c r="N161" s="47" t="n"/>
      <c r="O161" s="47" t="n"/>
      <c r="Q161" s="49">
        <f>IF(A161="","",IFERROR(INDEX('Famílias'!$E:$E,MATCH(A161,'Famílias'!$A:$A,0)),"família não cadastrada"))</f>
        <v/>
      </c>
      <c r="R161" s="50" t="n"/>
      <c r="S161" s="50" t="n"/>
      <c r="T161" s="50" t="n"/>
      <c r="U161" s="50" t="n"/>
    </row>
    <row r="162">
      <c r="B162" s="45" t="n"/>
      <c r="C162" s="46" t="n"/>
      <c r="E162" s="47" t="n"/>
      <c r="F162" s="47" t="n"/>
      <c r="G162" s="47" t="n"/>
      <c r="J162" s="48" t="n"/>
      <c r="K162" s="48" t="n"/>
      <c r="N162" s="47" t="n"/>
      <c r="O162" s="47" t="n"/>
      <c r="Q162" s="49">
        <f>IF(A162="","",IFERROR(INDEX('Famílias'!$E:$E,MATCH(A162,'Famílias'!$A:$A,0)),"família não cadastrada"))</f>
        <v/>
      </c>
      <c r="R162" s="50" t="n"/>
      <c r="S162" s="50" t="n"/>
      <c r="T162" s="50" t="n"/>
      <c r="U162" s="50" t="n"/>
    </row>
    <row r="163">
      <c r="B163" s="45" t="n"/>
      <c r="C163" s="46" t="n"/>
      <c r="E163" s="47" t="n"/>
      <c r="F163" s="47" t="n"/>
      <c r="G163" s="47" t="n"/>
      <c r="J163" s="48" t="n"/>
      <c r="K163" s="48" t="n"/>
      <c r="N163" s="47" t="n"/>
      <c r="O163" s="47" t="n"/>
      <c r="Q163" s="49">
        <f>IF(A163="","",IFERROR(INDEX('Famílias'!$E:$E,MATCH(A163,'Famílias'!$A:$A,0)),"família não cadastrada"))</f>
        <v/>
      </c>
      <c r="R163" s="50" t="n"/>
      <c r="S163" s="50" t="n"/>
      <c r="T163" s="50" t="n"/>
      <c r="U163" s="50" t="n"/>
    </row>
    <row r="164">
      <c r="B164" s="45" t="n"/>
      <c r="C164" s="46" t="n"/>
      <c r="E164" s="47" t="n"/>
      <c r="F164" s="47" t="n"/>
      <c r="G164" s="47" t="n"/>
      <c r="J164" s="48" t="n"/>
      <c r="K164" s="48" t="n"/>
      <c r="N164" s="47" t="n"/>
      <c r="O164" s="47" t="n"/>
      <c r="Q164" s="49">
        <f>IF(A164="","",IFERROR(INDEX('Famílias'!$E:$E,MATCH(A164,'Famílias'!$A:$A,0)),"família não cadastrada"))</f>
        <v/>
      </c>
      <c r="R164" s="50" t="n"/>
      <c r="S164" s="50" t="n"/>
      <c r="T164" s="50" t="n"/>
      <c r="U164" s="50" t="n"/>
    </row>
    <row r="165">
      <c r="B165" s="45" t="n"/>
      <c r="C165" s="46" t="n"/>
      <c r="E165" s="47" t="n"/>
      <c r="F165" s="47" t="n"/>
      <c r="G165" s="47" t="n"/>
      <c r="J165" s="48" t="n"/>
      <c r="K165" s="48" t="n"/>
      <c r="N165" s="47" t="n"/>
      <c r="O165" s="47" t="n"/>
      <c r="Q165" s="49">
        <f>IF(A165="","",IFERROR(INDEX('Famílias'!$E:$E,MATCH(A165,'Famílias'!$A:$A,0)),"família não cadastrada"))</f>
        <v/>
      </c>
      <c r="R165" s="50" t="n"/>
      <c r="S165" s="50" t="n"/>
      <c r="T165" s="50" t="n"/>
      <c r="U165" s="50" t="n"/>
    </row>
    <row r="166">
      <c r="B166" s="45" t="n"/>
      <c r="C166" s="46" t="n"/>
      <c r="E166" s="47" t="n"/>
      <c r="F166" s="47" t="n"/>
      <c r="G166" s="47" t="n"/>
      <c r="J166" s="48" t="n"/>
      <c r="K166" s="48" t="n"/>
      <c r="N166" s="47" t="n"/>
      <c r="O166" s="47" t="n"/>
      <c r="Q166" s="49">
        <f>IF(A166="","",IFERROR(INDEX('Famílias'!$E:$E,MATCH(A166,'Famílias'!$A:$A,0)),"família não cadastrada"))</f>
        <v/>
      </c>
      <c r="R166" s="50" t="n"/>
      <c r="S166" s="50" t="n"/>
      <c r="T166" s="50" t="n"/>
      <c r="U166" s="50" t="n"/>
    </row>
    <row r="167">
      <c r="B167" s="45" t="n"/>
      <c r="C167" s="46" t="n"/>
      <c r="E167" s="47" t="n"/>
      <c r="F167" s="47" t="n"/>
      <c r="G167" s="47" t="n"/>
      <c r="J167" s="48" t="n"/>
      <c r="K167" s="48" t="n"/>
      <c r="N167" s="47" t="n"/>
      <c r="O167" s="47" t="n"/>
      <c r="Q167" s="49">
        <f>IF(A167="","",IFERROR(INDEX('Famílias'!$E:$E,MATCH(A167,'Famílias'!$A:$A,0)),"família não cadastrada"))</f>
        <v/>
      </c>
      <c r="R167" s="50" t="n"/>
      <c r="S167" s="50" t="n"/>
      <c r="T167" s="50" t="n"/>
      <c r="U167" s="50" t="n"/>
    </row>
    <row r="168">
      <c r="B168" s="45" t="n"/>
      <c r="C168" s="46" t="n"/>
      <c r="E168" s="47" t="n"/>
      <c r="F168" s="47" t="n"/>
      <c r="G168" s="47" t="n"/>
      <c r="J168" s="48" t="n"/>
      <c r="K168" s="48" t="n"/>
      <c r="N168" s="47" t="n"/>
      <c r="O168" s="47" t="n"/>
      <c r="Q168" s="49">
        <f>IF(A168="","",IFERROR(INDEX('Famílias'!$E:$E,MATCH(A168,'Famílias'!$A:$A,0)),"família não cadastrada"))</f>
        <v/>
      </c>
      <c r="R168" s="50" t="n"/>
      <c r="S168" s="50" t="n"/>
      <c r="T168" s="50" t="n"/>
      <c r="U168" s="50" t="n"/>
    </row>
    <row r="169">
      <c r="B169" s="45" t="n"/>
      <c r="C169" s="46" t="n"/>
      <c r="E169" s="47" t="n"/>
      <c r="F169" s="47" t="n"/>
      <c r="G169" s="47" t="n"/>
      <c r="J169" s="48" t="n"/>
      <c r="K169" s="48" t="n"/>
      <c r="N169" s="47" t="n"/>
      <c r="O169" s="47" t="n"/>
      <c r="Q169" s="49">
        <f>IF(A169="","",IFERROR(INDEX('Famílias'!$E:$E,MATCH(A169,'Famílias'!$A:$A,0)),"família não cadastrada"))</f>
        <v/>
      </c>
      <c r="R169" s="50" t="n"/>
      <c r="S169" s="50" t="n"/>
      <c r="T169" s="50" t="n"/>
      <c r="U169" s="50" t="n"/>
    </row>
    <row r="170">
      <c r="B170" s="45" t="n"/>
      <c r="C170" s="46" t="n"/>
      <c r="E170" s="47" t="n"/>
      <c r="F170" s="47" t="n"/>
      <c r="G170" s="47" t="n"/>
      <c r="J170" s="48" t="n"/>
      <c r="K170" s="48" t="n"/>
      <c r="N170" s="47" t="n"/>
      <c r="O170" s="47" t="n"/>
      <c r="Q170" s="49">
        <f>IF(A170="","",IFERROR(INDEX('Famílias'!$E:$E,MATCH(A170,'Famílias'!$A:$A,0)),"família não cadastrada"))</f>
        <v/>
      </c>
      <c r="R170" s="50" t="n"/>
      <c r="S170" s="50" t="n"/>
      <c r="T170" s="50" t="n"/>
      <c r="U170" s="50" t="n"/>
    </row>
    <row r="171">
      <c r="B171" s="45" t="n"/>
      <c r="C171" s="46" t="n"/>
      <c r="E171" s="47" t="n"/>
      <c r="F171" s="47" t="n"/>
      <c r="G171" s="47" t="n"/>
      <c r="J171" s="48" t="n"/>
      <c r="K171" s="48" t="n"/>
      <c r="N171" s="47" t="n"/>
      <c r="O171" s="47" t="n"/>
      <c r="Q171" s="49">
        <f>IF(A171="","",IFERROR(INDEX('Famílias'!$E:$E,MATCH(A171,'Famílias'!$A:$A,0)),"família não cadastrada"))</f>
        <v/>
      </c>
      <c r="R171" s="50" t="n"/>
      <c r="S171" s="50" t="n"/>
      <c r="T171" s="50" t="n"/>
      <c r="U171" s="50" t="n"/>
    </row>
    <row r="172">
      <c r="B172" s="45" t="n"/>
      <c r="C172" s="46" t="n"/>
      <c r="E172" s="47" t="n"/>
      <c r="F172" s="47" t="n"/>
      <c r="G172" s="47" t="n"/>
      <c r="J172" s="48" t="n"/>
      <c r="K172" s="48" t="n"/>
      <c r="N172" s="47" t="n"/>
      <c r="O172" s="47" t="n"/>
      <c r="Q172" s="49">
        <f>IF(A172="","",IFERROR(INDEX('Famílias'!$E:$E,MATCH(A172,'Famílias'!$A:$A,0)),"família não cadastrada"))</f>
        <v/>
      </c>
      <c r="R172" s="50" t="n"/>
      <c r="S172" s="50" t="n"/>
      <c r="T172" s="50" t="n"/>
      <c r="U172" s="50" t="n"/>
    </row>
    <row r="173">
      <c r="B173" s="45" t="n"/>
      <c r="C173" s="46" t="n"/>
      <c r="E173" s="47" t="n"/>
      <c r="F173" s="47" t="n"/>
      <c r="G173" s="47" t="n"/>
      <c r="J173" s="48" t="n"/>
      <c r="K173" s="48" t="n"/>
      <c r="N173" s="47" t="n"/>
      <c r="O173" s="47" t="n"/>
      <c r="Q173" s="49">
        <f>IF(A173="","",IFERROR(INDEX('Famílias'!$E:$E,MATCH(A173,'Famílias'!$A:$A,0)),"família não cadastrada"))</f>
        <v/>
      </c>
      <c r="R173" s="50" t="n"/>
      <c r="S173" s="50" t="n"/>
      <c r="T173" s="50" t="n"/>
      <c r="U173" s="50" t="n"/>
    </row>
    <row r="174">
      <c r="B174" s="45" t="n"/>
      <c r="C174" s="46" t="n"/>
      <c r="E174" s="47" t="n"/>
      <c r="F174" s="47" t="n"/>
      <c r="G174" s="47" t="n"/>
      <c r="J174" s="48" t="n"/>
      <c r="K174" s="48" t="n"/>
      <c r="N174" s="47" t="n"/>
      <c r="O174" s="47" t="n"/>
      <c r="Q174" s="49">
        <f>IF(A174="","",IFERROR(INDEX('Famílias'!$E:$E,MATCH(A174,'Famílias'!$A:$A,0)),"família não cadastrada"))</f>
        <v/>
      </c>
      <c r="R174" s="50" t="n"/>
      <c r="S174" s="50" t="n"/>
      <c r="T174" s="50" t="n"/>
      <c r="U174" s="50" t="n"/>
    </row>
    <row r="175">
      <c r="B175" s="45" t="n"/>
      <c r="C175" s="46" t="n"/>
      <c r="E175" s="47" t="n"/>
      <c r="F175" s="47" t="n"/>
      <c r="G175" s="47" t="n"/>
      <c r="J175" s="48" t="n"/>
      <c r="K175" s="48" t="n"/>
      <c r="N175" s="47" t="n"/>
      <c r="O175" s="47" t="n"/>
      <c r="Q175" s="49">
        <f>IF(A175="","",IFERROR(INDEX('Famílias'!$E:$E,MATCH(A175,'Famílias'!$A:$A,0)),"família não cadastrada"))</f>
        <v/>
      </c>
      <c r="R175" s="50" t="n"/>
      <c r="S175" s="50" t="n"/>
      <c r="T175" s="50" t="n"/>
      <c r="U175" s="50" t="n"/>
    </row>
    <row r="176">
      <c r="B176" s="45" t="n"/>
      <c r="C176" s="46" t="n"/>
      <c r="E176" s="47" t="n"/>
      <c r="F176" s="47" t="n"/>
      <c r="G176" s="47" t="n"/>
      <c r="J176" s="48" t="n"/>
      <c r="K176" s="48" t="n"/>
      <c r="N176" s="47" t="n"/>
      <c r="O176" s="47" t="n"/>
      <c r="Q176" s="49">
        <f>IF(A176="","",IFERROR(INDEX('Famílias'!$E:$E,MATCH(A176,'Famílias'!$A:$A,0)),"família não cadastrada"))</f>
        <v/>
      </c>
      <c r="R176" s="50" t="n"/>
      <c r="S176" s="50" t="n"/>
      <c r="T176" s="50" t="n"/>
      <c r="U176" s="50" t="n"/>
    </row>
    <row r="177">
      <c r="B177" s="45" t="n"/>
      <c r="C177" s="46" t="n"/>
      <c r="E177" s="47" t="n"/>
      <c r="F177" s="47" t="n"/>
      <c r="G177" s="47" t="n"/>
      <c r="J177" s="48" t="n"/>
      <c r="K177" s="48" t="n"/>
      <c r="N177" s="47" t="n"/>
      <c r="O177" s="47" t="n"/>
      <c r="Q177" s="49">
        <f>IF(A177="","",IFERROR(INDEX('Famílias'!$E:$E,MATCH(A177,'Famílias'!$A:$A,0)),"família não cadastrada"))</f>
        <v/>
      </c>
      <c r="R177" s="50" t="n"/>
      <c r="S177" s="50" t="n"/>
      <c r="T177" s="50" t="n"/>
      <c r="U177" s="50" t="n"/>
    </row>
    <row r="178">
      <c r="B178" s="45" t="n"/>
      <c r="C178" s="46" t="n"/>
      <c r="E178" s="47" t="n"/>
      <c r="F178" s="47" t="n"/>
      <c r="G178" s="47" t="n"/>
      <c r="J178" s="48" t="n"/>
      <c r="K178" s="48" t="n"/>
      <c r="N178" s="47" t="n"/>
      <c r="O178" s="47" t="n"/>
      <c r="Q178" s="49">
        <f>IF(A178="","",IFERROR(INDEX('Famílias'!$E:$E,MATCH(A178,'Famílias'!$A:$A,0)),"família não cadastrada"))</f>
        <v/>
      </c>
      <c r="R178" s="50" t="n"/>
      <c r="S178" s="50" t="n"/>
      <c r="T178" s="50" t="n"/>
      <c r="U178" s="50" t="n"/>
    </row>
    <row r="179">
      <c r="B179" s="45" t="n"/>
      <c r="C179" s="46" t="n"/>
      <c r="E179" s="47" t="n"/>
      <c r="F179" s="47" t="n"/>
      <c r="G179" s="47" t="n"/>
      <c r="J179" s="48" t="n"/>
      <c r="K179" s="48" t="n"/>
      <c r="N179" s="47" t="n"/>
      <c r="O179" s="47" t="n"/>
      <c r="Q179" s="49">
        <f>IF(A179="","",IFERROR(INDEX('Famílias'!$E:$E,MATCH(A179,'Famílias'!$A:$A,0)),"família não cadastrada"))</f>
        <v/>
      </c>
      <c r="R179" s="50" t="n"/>
      <c r="S179" s="50" t="n"/>
      <c r="T179" s="50" t="n"/>
      <c r="U179" s="50" t="n"/>
    </row>
    <row r="180">
      <c r="B180" s="45" t="n"/>
      <c r="C180" s="46" t="n"/>
      <c r="E180" s="47" t="n"/>
      <c r="F180" s="47" t="n"/>
      <c r="G180" s="47" t="n"/>
      <c r="J180" s="48" t="n"/>
      <c r="K180" s="48" t="n"/>
      <c r="N180" s="47" t="n"/>
      <c r="O180" s="47" t="n"/>
      <c r="Q180" s="49">
        <f>IF(A180="","",IFERROR(INDEX('Famílias'!$E:$E,MATCH(A180,'Famílias'!$A:$A,0)),"família não cadastrada"))</f>
        <v/>
      </c>
      <c r="R180" s="50" t="n"/>
      <c r="S180" s="50" t="n"/>
      <c r="T180" s="50" t="n"/>
      <c r="U180" s="50" t="n"/>
    </row>
    <row r="181">
      <c r="B181" s="45" t="n"/>
      <c r="C181" s="46" t="n"/>
      <c r="E181" s="47" t="n"/>
      <c r="F181" s="47" t="n"/>
      <c r="G181" s="47" t="n"/>
      <c r="J181" s="48" t="n"/>
      <c r="K181" s="48" t="n"/>
      <c r="N181" s="47" t="n"/>
      <c r="O181" s="47" t="n"/>
      <c r="Q181" s="49">
        <f>IF(A181="","",IFERROR(INDEX('Famílias'!$E:$E,MATCH(A181,'Famílias'!$A:$A,0)),"família não cadastrada"))</f>
        <v/>
      </c>
      <c r="R181" s="50" t="n"/>
      <c r="S181" s="50" t="n"/>
      <c r="T181" s="50" t="n"/>
      <c r="U181" s="50" t="n"/>
    </row>
    <row r="182">
      <c r="B182" s="45" t="n"/>
      <c r="C182" s="46" t="n"/>
      <c r="E182" s="47" t="n"/>
      <c r="F182" s="47" t="n"/>
      <c r="G182" s="47" t="n"/>
      <c r="J182" s="48" t="n"/>
      <c r="K182" s="48" t="n"/>
      <c r="N182" s="47" t="n"/>
      <c r="O182" s="47" t="n"/>
      <c r="Q182" s="49">
        <f>IF(A182="","",IFERROR(INDEX('Famílias'!$E:$E,MATCH(A182,'Famílias'!$A:$A,0)),"família não cadastrada"))</f>
        <v/>
      </c>
      <c r="R182" s="50" t="n"/>
      <c r="S182" s="50" t="n"/>
      <c r="T182" s="50" t="n"/>
      <c r="U182" s="50" t="n"/>
    </row>
    <row r="183">
      <c r="B183" s="45" t="n"/>
      <c r="C183" s="46" t="n"/>
      <c r="E183" s="47" t="n"/>
      <c r="F183" s="47" t="n"/>
      <c r="G183" s="47" t="n"/>
      <c r="J183" s="48" t="n"/>
      <c r="K183" s="48" t="n"/>
      <c r="N183" s="47" t="n"/>
      <c r="O183" s="47" t="n"/>
      <c r="Q183" s="49">
        <f>IF(A183="","",IFERROR(INDEX('Famílias'!$E:$E,MATCH(A183,'Famílias'!$A:$A,0)),"família não cadastrada"))</f>
        <v/>
      </c>
      <c r="R183" s="50" t="n"/>
      <c r="S183" s="50" t="n"/>
      <c r="T183" s="50" t="n"/>
      <c r="U183" s="50" t="n"/>
    </row>
    <row r="184">
      <c r="B184" s="45" t="n"/>
      <c r="C184" s="46" t="n"/>
      <c r="E184" s="47" t="n"/>
      <c r="F184" s="47" t="n"/>
      <c r="G184" s="47" t="n"/>
      <c r="J184" s="48" t="n"/>
      <c r="K184" s="48" t="n"/>
      <c r="N184" s="47" t="n"/>
      <c r="O184" s="47" t="n"/>
      <c r="Q184" s="49">
        <f>IF(A184="","",IFERROR(INDEX('Famílias'!$E:$E,MATCH(A184,'Famílias'!$A:$A,0)),"família não cadastrada"))</f>
        <v/>
      </c>
      <c r="R184" s="50" t="n"/>
      <c r="S184" s="50" t="n"/>
      <c r="T184" s="50" t="n"/>
      <c r="U184" s="50" t="n"/>
    </row>
    <row r="185">
      <c r="B185" s="45" t="n"/>
      <c r="C185" s="46" t="n"/>
      <c r="E185" s="47" t="n"/>
      <c r="F185" s="47" t="n"/>
      <c r="G185" s="47" t="n"/>
      <c r="J185" s="48" t="n"/>
      <c r="K185" s="48" t="n"/>
      <c r="N185" s="47" t="n"/>
      <c r="O185" s="47" t="n"/>
      <c r="Q185" s="49">
        <f>IF(A185="","",IFERROR(INDEX('Famílias'!$E:$E,MATCH(A185,'Famílias'!$A:$A,0)),"família não cadastrada"))</f>
        <v/>
      </c>
      <c r="R185" s="50" t="n"/>
      <c r="S185" s="50" t="n"/>
      <c r="T185" s="50" t="n"/>
      <c r="U185" s="50" t="n"/>
    </row>
    <row r="186">
      <c r="B186" s="45" t="n"/>
      <c r="C186" s="46" t="n"/>
      <c r="E186" s="47" t="n"/>
      <c r="F186" s="47" t="n"/>
      <c r="G186" s="47" t="n"/>
      <c r="J186" s="48" t="n"/>
      <c r="K186" s="48" t="n"/>
      <c r="N186" s="47" t="n"/>
      <c r="O186" s="47" t="n"/>
      <c r="Q186" s="49">
        <f>IF(A186="","",IFERROR(INDEX('Famílias'!$E:$E,MATCH(A186,'Famílias'!$A:$A,0)),"família não cadastrada"))</f>
        <v/>
      </c>
      <c r="R186" s="50" t="n"/>
      <c r="S186" s="50" t="n"/>
      <c r="T186" s="50" t="n"/>
      <c r="U186" s="50" t="n"/>
    </row>
    <row r="187">
      <c r="B187" s="45" t="n"/>
      <c r="C187" s="46" t="n"/>
      <c r="E187" s="47" t="n"/>
      <c r="F187" s="47" t="n"/>
      <c r="G187" s="47" t="n"/>
      <c r="J187" s="48" t="n"/>
      <c r="K187" s="48" t="n"/>
      <c r="N187" s="47" t="n"/>
      <c r="O187" s="47" t="n"/>
      <c r="Q187" s="49">
        <f>IF(A187="","",IFERROR(INDEX('Famílias'!$E:$E,MATCH(A187,'Famílias'!$A:$A,0)),"família não cadastrada"))</f>
        <v/>
      </c>
      <c r="R187" s="50" t="n"/>
      <c r="S187" s="50" t="n"/>
      <c r="T187" s="50" t="n"/>
      <c r="U187" s="50" t="n"/>
    </row>
    <row r="188">
      <c r="B188" s="45" t="n"/>
      <c r="C188" s="46" t="n"/>
      <c r="E188" s="47" t="n"/>
      <c r="F188" s="47" t="n"/>
      <c r="G188" s="47" t="n"/>
      <c r="J188" s="48" t="n"/>
      <c r="K188" s="48" t="n"/>
      <c r="N188" s="47" t="n"/>
      <c r="O188" s="47" t="n"/>
      <c r="Q188" s="49">
        <f>IF(A188="","",IFERROR(INDEX('Famílias'!$E:$E,MATCH(A188,'Famílias'!$A:$A,0)),"família não cadastrada"))</f>
        <v/>
      </c>
      <c r="R188" s="50" t="n"/>
      <c r="S188" s="50" t="n"/>
      <c r="T188" s="50" t="n"/>
      <c r="U188" s="50" t="n"/>
    </row>
    <row r="189">
      <c r="B189" s="45" t="n"/>
      <c r="C189" s="46" t="n"/>
      <c r="E189" s="47" t="n"/>
      <c r="F189" s="47" t="n"/>
      <c r="G189" s="47" t="n"/>
      <c r="J189" s="48" t="n"/>
      <c r="K189" s="48" t="n"/>
      <c r="N189" s="47" t="n"/>
      <c r="O189" s="47" t="n"/>
      <c r="Q189" s="49">
        <f>IF(A189="","",IFERROR(INDEX('Famílias'!$E:$E,MATCH(A189,'Famílias'!$A:$A,0)),"família não cadastrada"))</f>
        <v/>
      </c>
      <c r="R189" s="50" t="n"/>
      <c r="S189" s="50" t="n"/>
      <c r="T189" s="50" t="n"/>
      <c r="U189" s="50" t="n"/>
    </row>
    <row r="190">
      <c r="B190" s="45" t="n"/>
      <c r="C190" s="46" t="n"/>
      <c r="E190" s="47" t="n"/>
      <c r="F190" s="47" t="n"/>
      <c r="G190" s="47" t="n"/>
      <c r="J190" s="48" t="n"/>
      <c r="K190" s="48" t="n"/>
      <c r="N190" s="47" t="n"/>
      <c r="O190" s="47" t="n"/>
      <c r="Q190" s="49">
        <f>IF(A190="","",IFERROR(INDEX('Famílias'!$E:$E,MATCH(A190,'Famílias'!$A:$A,0)),"família não cadastrada"))</f>
        <v/>
      </c>
      <c r="R190" s="50" t="n"/>
      <c r="S190" s="50" t="n"/>
      <c r="T190" s="50" t="n"/>
      <c r="U190" s="50" t="n"/>
    </row>
    <row r="191">
      <c r="B191" s="45" t="n"/>
      <c r="C191" s="46" t="n"/>
      <c r="E191" s="47" t="n"/>
      <c r="F191" s="47" t="n"/>
      <c r="G191" s="47" t="n"/>
      <c r="J191" s="48" t="n"/>
      <c r="K191" s="48" t="n"/>
      <c r="N191" s="47" t="n"/>
      <c r="O191" s="47" t="n"/>
      <c r="Q191" s="49">
        <f>IF(A191="","",IFERROR(INDEX('Famílias'!$E:$E,MATCH(A191,'Famílias'!$A:$A,0)),"família não cadastrada"))</f>
        <v/>
      </c>
      <c r="R191" s="50" t="n"/>
      <c r="S191" s="50" t="n"/>
      <c r="T191" s="50" t="n"/>
      <c r="U191" s="50" t="n"/>
    </row>
    <row r="192">
      <c r="B192" s="45" t="n"/>
      <c r="C192" s="46" t="n"/>
      <c r="E192" s="47" t="n"/>
      <c r="F192" s="47" t="n"/>
      <c r="G192" s="47" t="n"/>
      <c r="J192" s="48" t="n"/>
      <c r="K192" s="48" t="n"/>
      <c r="N192" s="47" t="n"/>
      <c r="O192" s="47" t="n"/>
      <c r="Q192" s="49">
        <f>IF(A192="","",IFERROR(INDEX('Famílias'!$E:$E,MATCH(A192,'Famílias'!$A:$A,0)),"família não cadastrada"))</f>
        <v/>
      </c>
      <c r="R192" s="50" t="n"/>
      <c r="S192" s="50" t="n"/>
      <c r="T192" s="50" t="n"/>
      <c r="U192" s="50" t="n"/>
    </row>
    <row r="193">
      <c r="B193" s="45" t="n"/>
      <c r="C193" s="46" t="n"/>
      <c r="E193" s="47" t="n"/>
      <c r="F193" s="47" t="n"/>
      <c r="G193" s="47" t="n"/>
      <c r="J193" s="48" t="n"/>
      <c r="K193" s="48" t="n"/>
      <c r="N193" s="47" t="n"/>
      <c r="O193" s="47" t="n"/>
      <c r="Q193" s="49">
        <f>IF(A193="","",IFERROR(INDEX('Famílias'!$E:$E,MATCH(A193,'Famílias'!$A:$A,0)),"família não cadastrada"))</f>
        <v/>
      </c>
      <c r="R193" s="50" t="n"/>
      <c r="S193" s="50" t="n"/>
      <c r="T193" s="50" t="n"/>
      <c r="U193" s="50" t="n"/>
    </row>
    <row r="194">
      <c r="B194" s="45" t="n"/>
      <c r="C194" s="46" t="n"/>
      <c r="E194" s="47" t="n"/>
      <c r="F194" s="47" t="n"/>
      <c r="G194" s="47" t="n"/>
      <c r="J194" s="48" t="n"/>
      <c r="K194" s="48" t="n"/>
      <c r="N194" s="47" t="n"/>
      <c r="O194" s="47" t="n"/>
      <c r="Q194" s="49">
        <f>IF(A194="","",IFERROR(INDEX('Famílias'!$E:$E,MATCH(A194,'Famílias'!$A:$A,0)),"família não cadastrada"))</f>
        <v/>
      </c>
      <c r="R194" s="50" t="n"/>
      <c r="S194" s="50" t="n"/>
      <c r="T194" s="50" t="n"/>
      <c r="U194" s="50" t="n"/>
    </row>
    <row r="195">
      <c r="B195" s="45" t="n"/>
      <c r="C195" s="46" t="n"/>
      <c r="E195" s="47" t="n"/>
      <c r="F195" s="47" t="n"/>
      <c r="G195" s="47" t="n"/>
      <c r="J195" s="48" t="n"/>
      <c r="K195" s="48" t="n"/>
      <c r="N195" s="47" t="n"/>
      <c r="O195" s="47" t="n"/>
      <c r="Q195" s="49">
        <f>IF(A195="","",IFERROR(INDEX('Famílias'!$E:$E,MATCH(A195,'Famílias'!$A:$A,0)),"família não cadastrada"))</f>
        <v/>
      </c>
      <c r="R195" s="50" t="n"/>
      <c r="S195" s="50" t="n"/>
      <c r="T195" s="50" t="n"/>
      <c r="U195" s="50" t="n"/>
    </row>
    <row r="196">
      <c r="B196" s="45" t="n"/>
      <c r="C196" s="46" t="n"/>
      <c r="E196" s="47" t="n"/>
      <c r="F196" s="47" t="n"/>
      <c r="G196" s="47" t="n"/>
      <c r="J196" s="48" t="n"/>
      <c r="K196" s="48" t="n"/>
      <c r="N196" s="47" t="n"/>
      <c r="O196" s="47" t="n"/>
      <c r="Q196" s="49">
        <f>IF(A196="","",IFERROR(INDEX('Famílias'!$E:$E,MATCH(A196,'Famílias'!$A:$A,0)),"família não cadastrada"))</f>
        <v/>
      </c>
      <c r="R196" s="50" t="n"/>
      <c r="S196" s="50" t="n"/>
      <c r="T196" s="50" t="n"/>
      <c r="U196" s="50" t="n"/>
    </row>
    <row r="197">
      <c r="B197" s="45" t="n"/>
      <c r="C197" s="46" t="n"/>
      <c r="E197" s="47" t="n"/>
      <c r="F197" s="47" t="n"/>
      <c r="G197" s="47" t="n"/>
      <c r="J197" s="48" t="n"/>
      <c r="K197" s="48" t="n"/>
      <c r="N197" s="47" t="n"/>
      <c r="O197" s="47" t="n"/>
      <c r="Q197" s="49">
        <f>IF(A197="","",IFERROR(INDEX('Famílias'!$E:$E,MATCH(A197,'Famílias'!$A:$A,0)),"família não cadastrada"))</f>
        <v/>
      </c>
      <c r="R197" s="50" t="n"/>
      <c r="S197" s="50" t="n"/>
      <c r="T197" s="50" t="n"/>
      <c r="U197" s="50" t="n"/>
    </row>
    <row r="198">
      <c r="B198" s="45" t="n"/>
      <c r="C198" s="46" t="n"/>
      <c r="E198" s="47" t="n"/>
      <c r="F198" s="47" t="n"/>
      <c r="G198" s="47" t="n"/>
      <c r="J198" s="48" t="n"/>
      <c r="K198" s="48" t="n"/>
      <c r="N198" s="47" t="n"/>
      <c r="O198" s="47" t="n"/>
      <c r="Q198" s="49">
        <f>IF(A198="","",IFERROR(INDEX('Famílias'!$E:$E,MATCH(A198,'Famílias'!$A:$A,0)),"família não cadastrada"))</f>
        <v/>
      </c>
      <c r="R198" s="50" t="n"/>
      <c r="S198" s="50" t="n"/>
      <c r="T198" s="50" t="n"/>
      <c r="U198" s="50" t="n"/>
    </row>
    <row r="199">
      <c r="B199" s="45" t="n"/>
      <c r="C199" s="46" t="n"/>
      <c r="E199" s="47" t="n"/>
      <c r="F199" s="47" t="n"/>
      <c r="G199" s="47" t="n"/>
      <c r="J199" s="48" t="n"/>
      <c r="K199" s="48" t="n"/>
      <c r="N199" s="47" t="n"/>
      <c r="O199" s="47" t="n"/>
      <c r="Q199" s="49">
        <f>IF(A199="","",IFERROR(INDEX('Famílias'!$E:$E,MATCH(A199,'Famílias'!$A:$A,0)),"família não cadastrada"))</f>
        <v/>
      </c>
      <c r="R199" s="50" t="n"/>
      <c r="S199" s="50" t="n"/>
      <c r="T199" s="50" t="n"/>
      <c r="U199" s="50" t="n"/>
    </row>
    <row r="200">
      <c r="B200" s="45" t="n"/>
      <c r="C200" s="46" t="n"/>
      <c r="E200" s="47" t="n"/>
      <c r="F200" s="47" t="n"/>
      <c r="G200" s="47" t="n"/>
      <c r="J200" s="48" t="n"/>
      <c r="K200" s="48" t="n"/>
      <c r="N200" s="47" t="n"/>
      <c r="O200" s="47" t="n"/>
      <c r="Q200" s="49">
        <f>IF(A200="","",IFERROR(INDEX('Famílias'!$E:$E,MATCH(A200,'Famílias'!$A:$A,0)),"família não cadastrada"))</f>
        <v/>
      </c>
      <c r="R200" s="50" t="n"/>
      <c r="S200" s="50" t="n"/>
      <c r="T200" s="50" t="n"/>
      <c r="U200" s="50" t="n"/>
    </row>
    <row r="201">
      <c r="B201" s="45" t="n"/>
      <c r="C201" s="46" t="n"/>
      <c r="E201" s="47" t="n"/>
      <c r="F201" s="47" t="n"/>
      <c r="G201" s="47" t="n"/>
      <c r="J201" s="48" t="n"/>
      <c r="K201" s="48" t="n"/>
      <c r="N201" s="47" t="n"/>
      <c r="O201" s="47" t="n"/>
      <c r="Q201" s="49">
        <f>IF(A201="","",IFERROR(INDEX('Famílias'!$E:$E,MATCH(A201,'Famílias'!$A:$A,0)),"família não cadastrada"))</f>
        <v/>
      </c>
      <c r="R201" s="50" t="n"/>
      <c r="S201" s="50" t="n"/>
      <c r="T201" s="50" t="n"/>
      <c r="U201" s="50" t="n"/>
    </row>
    <row r="202">
      <c r="B202" s="45" t="n"/>
      <c r="C202" s="46" t="n"/>
      <c r="E202" s="47" t="n"/>
      <c r="F202" s="47" t="n"/>
      <c r="G202" s="47" t="n"/>
      <c r="J202" s="48" t="n"/>
      <c r="K202" s="48" t="n"/>
      <c r="N202" s="47" t="n"/>
      <c r="O202" s="47" t="n"/>
      <c r="Q202" s="49">
        <f>IF(A202="","",IFERROR(INDEX('Famílias'!$E:$E,MATCH(A202,'Famílias'!$A:$A,0)),"família não cadastrada"))</f>
        <v/>
      </c>
      <c r="R202" s="50" t="n"/>
      <c r="S202" s="50" t="n"/>
      <c r="T202" s="50" t="n"/>
      <c r="U202" s="50" t="n"/>
    </row>
    <row r="203">
      <c r="B203" s="45" t="n"/>
      <c r="C203" s="46" t="n"/>
      <c r="E203" s="47" t="n"/>
      <c r="F203" s="47" t="n"/>
      <c r="G203" s="47" t="n"/>
      <c r="J203" s="48" t="n"/>
      <c r="K203" s="48" t="n"/>
      <c r="N203" s="47" t="n"/>
      <c r="O203" s="47" t="n"/>
      <c r="Q203" s="49">
        <f>IF(A203="","",IFERROR(INDEX('Famílias'!$E:$E,MATCH(A203,'Famílias'!$A:$A,0)),"família não cadastrada"))</f>
        <v/>
      </c>
      <c r="R203" s="50" t="n"/>
      <c r="S203" s="50" t="n"/>
      <c r="T203" s="50" t="n"/>
      <c r="U203" s="50" t="n"/>
    </row>
    <row r="204">
      <c r="B204" s="45" t="n"/>
      <c r="C204" s="46" t="n"/>
      <c r="E204" s="47" t="n"/>
      <c r="F204" s="47" t="n"/>
      <c r="G204" s="47" t="n"/>
      <c r="J204" s="48" t="n"/>
      <c r="K204" s="48" t="n"/>
      <c r="N204" s="47" t="n"/>
      <c r="O204" s="47" t="n"/>
      <c r="Q204" s="49">
        <f>IF(A204="","",IFERROR(INDEX('Famílias'!$E:$E,MATCH(A204,'Famílias'!$A:$A,0)),"família não cadastrada"))</f>
        <v/>
      </c>
      <c r="R204" s="50" t="n"/>
      <c r="S204" s="50" t="n"/>
      <c r="T204" s="50" t="n"/>
      <c r="U204" s="50" t="n"/>
    </row>
    <row r="205">
      <c r="B205" s="45" t="n"/>
      <c r="C205" s="46" t="n"/>
      <c r="E205" s="47" t="n"/>
      <c r="F205" s="47" t="n"/>
      <c r="G205" s="47" t="n"/>
      <c r="J205" s="48" t="n"/>
      <c r="K205" s="48" t="n"/>
      <c r="N205" s="47" t="n"/>
      <c r="O205" s="47" t="n"/>
      <c r="Q205" s="49">
        <f>IF(A205="","",IFERROR(INDEX('Famílias'!$E:$E,MATCH(A205,'Famílias'!$A:$A,0)),"família não cadastrada"))</f>
        <v/>
      </c>
      <c r="R205" s="50" t="n"/>
      <c r="S205" s="50" t="n"/>
      <c r="T205" s="50" t="n"/>
      <c r="U205" s="50" t="n"/>
    </row>
    <row r="206">
      <c r="B206" s="45" t="n"/>
      <c r="C206" s="46" t="n"/>
      <c r="E206" s="47" t="n"/>
      <c r="F206" s="47" t="n"/>
      <c r="G206" s="47" t="n"/>
      <c r="J206" s="48" t="n"/>
      <c r="K206" s="48" t="n"/>
      <c r="N206" s="47" t="n"/>
      <c r="O206" s="47" t="n"/>
      <c r="Q206" s="49">
        <f>IF(A206="","",IFERROR(INDEX('Famílias'!$E:$E,MATCH(A206,'Famílias'!$A:$A,0)),"família não cadastrada"))</f>
        <v/>
      </c>
      <c r="R206" s="50" t="n"/>
      <c r="S206" s="50" t="n"/>
      <c r="T206" s="50" t="n"/>
      <c r="U206" s="50" t="n"/>
    </row>
    <row r="207">
      <c r="B207" s="45" t="n"/>
      <c r="C207" s="46" t="n"/>
      <c r="E207" s="47" t="n"/>
      <c r="F207" s="47" t="n"/>
      <c r="G207" s="47" t="n"/>
      <c r="J207" s="48" t="n"/>
      <c r="K207" s="48" t="n"/>
      <c r="N207" s="47" t="n"/>
      <c r="O207" s="47" t="n"/>
      <c r="Q207" s="49">
        <f>IF(A207="","",IFERROR(INDEX('Famílias'!$E:$E,MATCH(A207,'Famílias'!$A:$A,0)),"família não cadastrada"))</f>
        <v/>
      </c>
      <c r="R207" s="50" t="n"/>
      <c r="S207" s="50" t="n"/>
      <c r="T207" s="50" t="n"/>
      <c r="U207" s="50" t="n"/>
    </row>
    <row r="208">
      <c r="B208" s="45" t="n"/>
      <c r="C208" s="46" t="n"/>
      <c r="E208" s="47" t="n"/>
      <c r="F208" s="47" t="n"/>
      <c r="G208" s="47" t="n"/>
      <c r="J208" s="48" t="n"/>
      <c r="K208" s="48" t="n"/>
      <c r="N208" s="47" t="n"/>
      <c r="O208" s="47" t="n"/>
      <c r="Q208" s="49">
        <f>IF(A208="","",IFERROR(INDEX('Famílias'!$E:$E,MATCH(A208,'Famílias'!$A:$A,0)),"família não cadastrada"))</f>
        <v/>
      </c>
      <c r="R208" s="50" t="n"/>
      <c r="S208" s="50" t="n"/>
      <c r="T208" s="50" t="n"/>
      <c r="U208" s="50" t="n"/>
    </row>
    <row r="209">
      <c r="B209" s="45" t="n"/>
      <c r="C209" s="46" t="n"/>
      <c r="E209" s="47" t="n"/>
      <c r="F209" s="47" t="n"/>
      <c r="G209" s="47" t="n"/>
      <c r="J209" s="48" t="n"/>
      <c r="K209" s="48" t="n"/>
      <c r="N209" s="47" t="n"/>
      <c r="O209" s="47" t="n"/>
      <c r="Q209" s="49">
        <f>IF(A209="","",IFERROR(INDEX('Famílias'!$E:$E,MATCH(A209,'Famílias'!$A:$A,0)),"família não cadastrada"))</f>
        <v/>
      </c>
      <c r="R209" s="50" t="n"/>
      <c r="S209" s="50" t="n"/>
      <c r="T209" s="50" t="n"/>
      <c r="U209" s="50" t="n"/>
    </row>
    <row r="210">
      <c r="B210" s="45" t="n"/>
      <c r="C210" s="46" t="n"/>
      <c r="E210" s="47" t="n"/>
      <c r="F210" s="47" t="n"/>
      <c r="G210" s="47" t="n"/>
      <c r="J210" s="48" t="n"/>
      <c r="K210" s="48" t="n"/>
      <c r="N210" s="47" t="n"/>
      <c r="O210" s="47" t="n"/>
      <c r="Q210" s="49">
        <f>IF(A210="","",IFERROR(INDEX('Famílias'!$E:$E,MATCH(A210,'Famílias'!$A:$A,0)),"família não cadastrada"))</f>
        <v/>
      </c>
      <c r="R210" s="50" t="n"/>
      <c r="S210" s="50" t="n"/>
      <c r="T210" s="50" t="n"/>
      <c r="U210" s="50" t="n"/>
    </row>
    <row r="211">
      <c r="B211" s="45" t="n"/>
      <c r="C211" s="46" t="n"/>
      <c r="E211" s="47" t="n"/>
      <c r="F211" s="47" t="n"/>
      <c r="G211" s="47" t="n"/>
      <c r="J211" s="48" t="n"/>
      <c r="K211" s="48" t="n"/>
      <c r="N211" s="47" t="n"/>
      <c r="O211" s="47" t="n"/>
      <c r="Q211" s="49">
        <f>IF(A211="","",IFERROR(INDEX('Famílias'!$E:$E,MATCH(A211,'Famílias'!$A:$A,0)),"família não cadastrada"))</f>
        <v/>
      </c>
      <c r="R211" s="50" t="n"/>
      <c r="S211" s="50" t="n"/>
      <c r="T211" s="50" t="n"/>
      <c r="U211" s="50" t="n"/>
    </row>
    <row r="212">
      <c r="B212" s="45" t="n"/>
      <c r="C212" s="46" t="n"/>
      <c r="E212" s="47" t="n"/>
      <c r="F212" s="47" t="n"/>
      <c r="G212" s="47" t="n"/>
      <c r="J212" s="48" t="n"/>
      <c r="K212" s="48" t="n"/>
      <c r="N212" s="47" t="n"/>
      <c r="O212" s="47" t="n"/>
      <c r="Q212" s="49">
        <f>IF(A212="","",IFERROR(INDEX('Famílias'!$E:$E,MATCH(A212,'Famílias'!$A:$A,0)),"família não cadastrada"))</f>
        <v/>
      </c>
      <c r="R212" s="50" t="n"/>
      <c r="S212" s="50" t="n"/>
      <c r="T212" s="50" t="n"/>
      <c r="U212" s="50" t="n"/>
    </row>
    <row r="213">
      <c r="B213" s="45" t="n"/>
      <c r="C213" s="46" t="n"/>
      <c r="E213" s="47" t="n"/>
      <c r="F213" s="47" t="n"/>
      <c r="G213" s="47" t="n"/>
      <c r="J213" s="48" t="n"/>
      <c r="K213" s="48" t="n"/>
      <c r="N213" s="47" t="n"/>
      <c r="O213" s="47" t="n"/>
      <c r="Q213" s="49">
        <f>IF(A213="","",IFERROR(INDEX('Famílias'!$E:$E,MATCH(A213,'Famílias'!$A:$A,0)),"família não cadastrada"))</f>
        <v/>
      </c>
      <c r="R213" s="50" t="n"/>
      <c r="S213" s="50" t="n"/>
      <c r="T213" s="50" t="n"/>
      <c r="U213" s="50" t="n"/>
    </row>
    <row r="214">
      <c r="B214" s="45" t="n"/>
      <c r="C214" s="46" t="n"/>
      <c r="E214" s="47" t="n"/>
      <c r="F214" s="47" t="n"/>
      <c r="G214" s="47" t="n"/>
      <c r="J214" s="48" t="n"/>
      <c r="K214" s="48" t="n"/>
      <c r="N214" s="47" t="n"/>
      <c r="O214" s="47" t="n"/>
      <c r="Q214" s="49">
        <f>IF(A214="","",IFERROR(INDEX('Famílias'!$E:$E,MATCH(A214,'Famílias'!$A:$A,0)),"família não cadastrada"))</f>
        <v/>
      </c>
      <c r="R214" s="50" t="n"/>
      <c r="S214" s="50" t="n"/>
      <c r="T214" s="50" t="n"/>
      <c r="U214" s="50" t="n"/>
    </row>
    <row r="215">
      <c r="B215" s="45" t="n"/>
      <c r="C215" s="46" t="n"/>
      <c r="E215" s="47" t="n"/>
      <c r="F215" s="47" t="n"/>
      <c r="G215" s="47" t="n"/>
      <c r="J215" s="48" t="n"/>
      <c r="K215" s="48" t="n"/>
      <c r="N215" s="47" t="n"/>
      <c r="O215" s="47" t="n"/>
      <c r="Q215" s="49">
        <f>IF(A215="","",IFERROR(INDEX('Famílias'!$E:$E,MATCH(A215,'Famílias'!$A:$A,0)),"família não cadastrada"))</f>
        <v/>
      </c>
      <c r="R215" s="50" t="n"/>
      <c r="S215" s="50" t="n"/>
      <c r="T215" s="50" t="n"/>
      <c r="U215" s="50" t="n"/>
    </row>
    <row r="216">
      <c r="B216" s="45" t="n"/>
      <c r="C216" s="46" t="n"/>
      <c r="E216" s="47" t="n"/>
      <c r="F216" s="47" t="n"/>
      <c r="G216" s="47" t="n"/>
      <c r="J216" s="48" t="n"/>
      <c r="K216" s="48" t="n"/>
      <c r="N216" s="47" t="n"/>
      <c r="O216" s="47" t="n"/>
      <c r="Q216" s="49">
        <f>IF(A216="","",IFERROR(INDEX('Famílias'!$E:$E,MATCH(A216,'Famílias'!$A:$A,0)),"família não cadastrada"))</f>
        <v/>
      </c>
      <c r="R216" s="50" t="n"/>
      <c r="S216" s="50" t="n"/>
      <c r="T216" s="50" t="n"/>
      <c r="U216" s="50" t="n"/>
    </row>
    <row r="217">
      <c r="B217" s="45" t="n"/>
      <c r="C217" s="46" t="n"/>
      <c r="E217" s="47" t="n"/>
      <c r="F217" s="47" t="n"/>
      <c r="G217" s="47" t="n"/>
      <c r="J217" s="48" t="n"/>
      <c r="K217" s="48" t="n"/>
      <c r="N217" s="47" t="n"/>
      <c r="O217" s="47" t="n"/>
      <c r="Q217" s="49">
        <f>IF(A217="","",IFERROR(INDEX('Famílias'!$E:$E,MATCH(A217,'Famílias'!$A:$A,0)),"família não cadastrada"))</f>
        <v/>
      </c>
      <c r="R217" s="50" t="n"/>
      <c r="S217" s="50" t="n"/>
      <c r="T217" s="50" t="n"/>
      <c r="U217" s="50" t="n"/>
    </row>
    <row r="218">
      <c r="B218" s="45" t="n"/>
      <c r="C218" s="46" t="n"/>
      <c r="E218" s="47" t="n"/>
      <c r="F218" s="47" t="n"/>
      <c r="G218" s="47" t="n"/>
      <c r="J218" s="48" t="n"/>
      <c r="K218" s="48" t="n"/>
      <c r="N218" s="47" t="n"/>
      <c r="O218" s="47" t="n"/>
      <c r="Q218" s="49">
        <f>IF(A218="","",IFERROR(INDEX('Famílias'!$E:$E,MATCH(A218,'Famílias'!$A:$A,0)),"família não cadastrada"))</f>
        <v/>
      </c>
      <c r="R218" s="50" t="n"/>
      <c r="S218" s="50" t="n"/>
      <c r="T218" s="50" t="n"/>
      <c r="U218" s="50" t="n"/>
    </row>
    <row r="219">
      <c r="B219" s="45" t="n"/>
      <c r="C219" s="46" t="n"/>
      <c r="E219" s="47" t="n"/>
      <c r="F219" s="47" t="n"/>
      <c r="G219" s="47" t="n"/>
      <c r="J219" s="48" t="n"/>
      <c r="K219" s="48" t="n"/>
      <c r="N219" s="47" t="n"/>
      <c r="O219" s="47" t="n"/>
      <c r="Q219" s="49">
        <f>IF(A219="","",IFERROR(INDEX('Famílias'!$E:$E,MATCH(A219,'Famílias'!$A:$A,0)),"família não cadastrada"))</f>
        <v/>
      </c>
      <c r="R219" s="50" t="n"/>
      <c r="S219" s="50" t="n"/>
      <c r="T219" s="50" t="n"/>
      <c r="U219" s="50" t="n"/>
    </row>
    <row r="220">
      <c r="B220" s="45" t="n"/>
      <c r="C220" s="46" t="n"/>
      <c r="E220" s="47" t="n"/>
      <c r="F220" s="47" t="n"/>
      <c r="G220" s="47" t="n"/>
      <c r="J220" s="48" t="n"/>
      <c r="K220" s="48" t="n"/>
      <c r="N220" s="47" t="n"/>
      <c r="O220" s="47" t="n"/>
      <c r="Q220" s="49">
        <f>IF(A220="","",IFERROR(INDEX('Famílias'!$E:$E,MATCH(A220,'Famílias'!$A:$A,0)),"família não cadastrada"))</f>
        <v/>
      </c>
      <c r="R220" s="50" t="n"/>
      <c r="S220" s="50" t="n"/>
      <c r="T220" s="50" t="n"/>
      <c r="U220" s="50" t="n"/>
    </row>
    <row r="221">
      <c r="B221" s="45" t="n"/>
      <c r="C221" s="46" t="n"/>
      <c r="E221" s="47" t="n"/>
      <c r="F221" s="47" t="n"/>
      <c r="G221" s="47" t="n"/>
      <c r="J221" s="48" t="n"/>
      <c r="K221" s="48" t="n"/>
      <c r="N221" s="47" t="n"/>
      <c r="O221" s="47" t="n"/>
      <c r="Q221" s="49">
        <f>IF(A221="","",IFERROR(INDEX('Famílias'!$E:$E,MATCH(A221,'Famílias'!$A:$A,0)),"família não cadastrada"))</f>
        <v/>
      </c>
      <c r="R221" s="50" t="n"/>
      <c r="S221" s="50" t="n"/>
      <c r="T221" s="50" t="n"/>
      <c r="U221" s="50" t="n"/>
    </row>
    <row r="222">
      <c r="B222" s="45" t="n"/>
      <c r="C222" s="46" t="n"/>
      <c r="E222" s="47" t="n"/>
      <c r="F222" s="47" t="n"/>
      <c r="G222" s="47" t="n"/>
      <c r="J222" s="48" t="n"/>
      <c r="K222" s="48" t="n"/>
      <c r="N222" s="47" t="n"/>
      <c r="O222" s="47" t="n"/>
      <c r="Q222" s="49">
        <f>IF(A222="","",IFERROR(INDEX('Famílias'!$E:$E,MATCH(A222,'Famílias'!$A:$A,0)),"família não cadastrada"))</f>
        <v/>
      </c>
      <c r="R222" s="50" t="n"/>
      <c r="S222" s="50" t="n"/>
      <c r="T222" s="50" t="n"/>
      <c r="U222" s="50" t="n"/>
    </row>
    <row r="223">
      <c r="B223" s="45" t="n"/>
      <c r="C223" s="46" t="n"/>
      <c r="E223" s="47" t="n"/>
      <c r="F223" s="47" t="n"/>
      <c r="G223" s="47" t="n"/>
      <c r="J223" s="48" t="n"/>
      <c r="K223" s="48" t="n"/>
      <c r="N223" s="47" t="n"/>
      <c r="O223" s="47" t="n"/>
      <c r="Q223" s="49">
        <f>IF(A223="","",IFERROR(INDEX('Famílias'!$E:$E,MATCH(A223,'Famílias'!$A:$A,0)),"família não cadastrada"))</f>
        <v/>
      </c>
      <c r="R223" s="50" t="n"/>
      <c r="S223" s="50" t="n"/>
      <c r="T223" s="50" t="n"/>
      <c r="U223" s="50" t="n"/>
    </row>
    <row r="224">
      <c r="B224" s="45" t="n"/>
      <c r="C224" s="46" t="n"/>
      <c r="E224" s="47" t="n"/>
      <c r="F224" s="47" t="n"/>
      <c r="G224" s="47" t="n"/>
      <c r="J224" s="48" t="n"/>
      <c r="K224" s="48" t="n"/>
      <c r="N224" s="47" t="n"/>
      <c r="O224" s="47" t="n"/>
      <c r="Q224" s="49">
        <f>IF(A224="","",IFERROR(INDEX('Famílias'!$E:$E,MATCH(A224,'Famílias'!$A:$A,0)),"família não cadastrada"))</f>
        <v/>
      </c>
      <c r="R224" s="50" t="n"/>
      <c r="S224" s="50" t="n"/>
      <c r="T224" s="50" t="n"/>
      <c r="U224" s="50" t="n"/>
    </row>
    <row r="225">
      <c r="B225" s="45" t="n"/>
      <c r="C225" s="46" t="n"/>
      <c r="E225" s="47" t="n"/>
      <c r="F225" s="47" t="n"/>
      <c r="G225" s="47" t="n"/>
      <c r="J225" s="48" t="n"/>
      <c r="K225" s="48" t="n"/>
      <c r="N225" s="47" t="n"/>
      <c r="O225" s="47" t="n"/>
      <c r="Q225" s="49">
        <f>IF(A225="","",IFERROR(INDEX('Famílias'!$E:$E,MATCH(A225,'Famílias'!$A:$A,0)),"família não cadastrada"))</f>
        <v/>
      </c>
      <c r="R225" s="50" t="n"/>
      <c r="S225" s="50" t="n"/>
      <c r="T225" s="50" t="n"/>
      <c r="U225" s="50" t="n"/>
    </row>
    <row r="226">
      <c r="B226" s="45" t="n"/>
      <c r="C226" s="46" t="n"/>
      <c r="E226" s="47" t="n"/>
      <c r="F226" s="47" t="n"/>
      <c r="G226" s="47" t="n"/>
      <c r="J226" s="48" t="n"/>
      <c r="K226" s="48" t="n"/>
      <c r="N226" s="47" t="n"/>
      <c r="O226" s="47" t="n"/>
      <c r="Q226" s="49">
        <f>IF(A226="","",IFERROR(INDEX('Famílias'!$E:$E,MATCH(A226,'Famílias'!$A:$A,0)),"família não cadastrada"))</f>
        <v/>
      </c>
      <c r="R226" s="50" t="n"/>
      <c r="S226" s="50" t="n"/>
      <c r="T226" s="50" t="n"/>
      <c r="U226" s="50" t="n"/>
    </row>
    <row r="227">
      <c r="B227" s="45" t="n"/>
      <c r="C227" s="46" t="n"/>
      <c r="E227" s="47" t="n"/>
      <c r="F227" s="47" t="n"/>
      <c r="G227" s="47" t="n"/>
      <c r="J227" s="48" t="n"/>
      <c r="K227" s="48" t="n"/>
      <c r="N227" s="47" t="n"/>
      <c r="O227" s="47" t="n"/>
      <c r="Q227" s="49">
        <f>IF(A227="","",IFERROR(INDEX('Famílias'!$E:$E,MATCH(A227,'Famílias'!$A:$A,0)),"família não cadastrada"))</f>
        <v/>
      </c>
      <c r="R227" s="50" t="n"/>
      <c r="S227" s="50" t="n"/>
      <c r="T227" s="50" t="n"/>
      <c r="U227" s="50" t="n"/>
    </row>
    <row r="228">
      <c r="B228" s="45" t="n"/>
      <c r="C228" s="46" t="n"/>
      <c r="E228" s="47" t="n"/>
      <c r="F228" s="47" t="n"/>
      <c r="G228" s="47" t="n"/>
      <c r="J228" s="48" t="n"/>
      <c r="K228" s="48" t="n"/>
      <c r="N228" s="47" t="n"/>
      <c r="O228" s="47" t="n"/>
      <c r="Q228" s="49">
        <f>IF(A228="","",IFERROR(INDEX('Famílias'!$E:$E,MATCH(A228,'Famílias'!$A:$A,0)),"família não cadastrada"))</f>
        <v/>
      </c>
      <c r="R228" s="50" t="n"/>
      <c r="S228" s="50" t="n"/>
      <c r="T228" s="50" t="n"/>
      <c r="U228" s="50" t="n"/>
    </row>
    <row r="229">
      <c r="B229" s="45" t="n"/>
      <c r="C229" s="46" t="n"/>
      <c r="E229" s="47" t="n"/>
      <c r="F229" s="47" t="n"/>
      <c r="G229" s="47" t="n"/>
      <c r="J229" s="48" t="n"/>
      <c r="K229" s="48" t="n"/>
      <c r="N229" s="47" t="n"/>
      <c r="O229" s="47" t="n"/>
      <c r="Q229" s="49">
        <f>IF(A229="","",IFERROR(INDEX('Famílias'!$E:$E,MATCH(A229,'Famílias'!$A:$A,0)),"família não cadastrada"))</f>
        <v/>
      </c>
      <c r="R229" s="50" t="n"/>
      <c r="S229" s="50" t="n"/>
      <c r="T229" s="50" t="n"/>
      <c r="U229" s="50" t="n"/>
    </row>
    <row r="230">
      <c r="B230" s="45" t="n"/>
      <c r="C230" s="46" t="n"/>
      <c r="E230" s="47" t="n"/>
      <c r="F230" s="47" t="n"/>
      <c r="G230" s="47" t="n"/>
      <c r="J230" s="48" t="n"/>
      <c r="K230" s="48" t="n"/>
      <c r="N230" s="47" t="n"/>
      <c r="O230" s="47" t="n"/>
      <c r="Q230" s="49">
        <f>IF(A230="","",IFERROR(INDEX('Famílias'!$E:$E,MATCH(A230,'Famílias'!$A:$A,0)),"família não cadastrada"))</f>
        <v/>
      </c>
      <c r="R230" s="50" t="n"/>
      <c r="S230" s="50" t="n"/>
      <c r="T230" s="50" t="n"/>
      <c r="U230" s="50" t="n"/>
    </row>
    <row r="231">
      <c r="B231" s="45" t="n"/>
      <c r="C231" s="46" t="n"/>
      <c r="E231" s="47" t="n"/>
      <c r="F231" s="47" t="n"/>
      <c r="G231" s="47" t="n"/>
      <c r="J231" s="48" t="n"/>
      <c r="K231" s="48" t="n"/>
      <c r="N231" s="47" t="n"/>
      <c r="O231" s="47" t="n"/>
      <c r="Q231" s="49">
        <f>IF(A231="","",IFERROR(INDEX('Famílias'!$E:$E,MATCH(A231,'Famílias'!$A:$A,0)),"família não cadastrada"))</f>
        <v/>
      </c>
      <c r="R231" s="50" t="n"/>
      <c r="S231" s="50" t="n"/>
      <c r="T231" s="50" t="n"/>
      <c r="U231" s="50" t="n"/>
    </row>
    <row r="232">
      <c r="B232" s="45" t="n"/>
      <c r="C232" s="46" t="n"/>
      <c r="E232" s="47" t="n"/>
      <c r="F232" s="47" t="n"/>
      <c r="G232" s="47" t="n"/>
      <c r="J232" s="48" t="n"/>
      <c r="K232" s="48" t="n"/>
      <c r="N232" s="47" t="n"/>
      <c r="O232" s="47" t="n"/>
      <c r="Q232" s="49">
        <f>IF(A232="","",IFERROR(INDEX('Famílias'!$E:$E,MATCH(A232,'Famílias'!$A:$A,0)),"família não cadastrada"))</f>
        <v/>
      </c>
      <c r="R232" s="50" t="n"/>
      <c r="S232" s="50" t="n"/>
      <c r="T232" s="50" t="n"/>
      <c r="U232" s="50" t="n"/>
    </row>
    <row r="233">
      <c r="B233" s="45" t="n"/>
      <c r="C233" s="46" t="n"/>
      <c r="E233" s="47" t="n"/>
      <c r="F233" s="47" t="n"/>
      <c r="G233" s="47" t="n"/>
      <c r="J233" s="48" t="n"/>
      <c r="K233" s="48" t="n"/>
      <c r="N233" s="47" t="n"/>
      <c r="O233" s="47" t="n"/>
      <c r="Q233" s="49">
        <f>IF(A233="","",IFERROR(INDEX('Famílias'!$E:$E,MATCH(A233,'Famílias'!$A:$A,0)),"família não cadastrada"))</f>
        <v/>
      </c>
      <c r="R233" s="50" t="n"/>
      <c r="S233" s="50" t="n"/>
      <c r="T233" s="50" t="n"/>
      <c r="U233" s="50" t="n"/>
    </row>
    <row r="234">
      <c r="B234" s="45" t="n"/>
      <c r="C234" s="46" t="n"/>
      <c r="E234" s="47" t="n"/>
      <c r="F234" s="47" t="n"/>
      <c r="G234" s="47" t="n"/>
      <c r="J234" s="48" t="n"/>
      <c r="K234" s="48" t="n"/>
      <c r="N234" s="47" t="n"/>
      <c r="O234" s="47" t="n"/>
      <c r="Q234" s="49">
        <f>IF(A234="","",IFERROR(INDEX('Famílias'!$E:$E,MATCH(A234,'Famílias'!$A:$A,0)),"família não cadastrada"))</f>
        <v/>
      </c>
      <c r="R234" s="50" t="n"/>
      <c r="S234" s="50" t="n"/>
      <c r="T234" s="50" t="n"/>
      <c r="U234" s="50" t="n"/>
    </row>
    <row r="235">
      <c r="B235" s="45" t="n"/>
      <c r="C235" s="46" t="n"/>
      <c r="E235" s="47" t="n"/>
      <c r="F235" s="47" t="n"/>
      <c r="G235" s="47" t="n"/>
      <c r="J235" s="48" t="n"/>
      <c r="K235" s="48" t="n"/>
      <c r="N235" s="47" t="n"/>
      <c r="O235" s="47" t="n"/>
      <c r="Q235" s="49">
        <f>IF(A235="","",IFERROR(INDEX('Famílias'!$E:$E,MATCH(A235,'Famílias'!$A:$A,0)),"família não cadastrada"))</f>
        <v/>
      </c>
      <c r="R235" s="50" t="n"/>
      <c r="S235" s="50" t="n"/>
      <c r="T235" s="50" t="n"/>
      <c r="U235" s="50" t="n"/>
    </row>
    <row r="236">
      <c r="B236" s="45" t="n"/>
      <c r="C236" s="46" t="n"/>
      <c r="E236" s="47" t="n"/>
      <c r="F236" s="47" t="n"/>
      <c r="G236" s="47" t="n"/>
      <c r="J236" s="48" t="n"/>
      <c r="K236" s="48" t="n"/>
      <c r="N236" s="47" t="n"/>
      <c r="O236" s="47" t="n"/>
      <c r="Q236" s="49">
        <f>IF(A236="","",IFERROR(INDEX('Famílias'!$E:$E,MATCH(A236,'Famílias'!$A:$A,0)),"família não cadastrada"))</f>
        <v/>
      </c>
      <c r="R236" s="50" t="n"/>
      <c r="S236" s="50" t="n"/>
      <c r="T236" s="50" t="n"/>
      <c r="U236" s="50" t="n"/>
    </row>
    <row r="237">
      <c r="B237" s="45" t="n"/>
      <c r="C237" s="46" t="n"/>
      <c r="E237" s="47" t="n"/>
      <c r="F237" s="47" t="n"/>
      <c r="G237" s="47" t="n"/>
      <c r="J237" s="48" t="n"/>
      <c r="K237" s="48" t="n"/>
      <c r="N237" s="47" t="n"/>
      <c r="O237" s="47" t="n"/>
      <c r="Q237" s="49">
        <f>IF(A237="","",IFERROR(INDEX('Famílias'!$E:$E,MATCH(A237,'Famílias'!$A:$A,0)),"família não cadastrada"))</f>
        <v/>
      </c>
      <c r="R237" s="50" t="n"/>
      <c r="S237" s="50" t="n"/>
      <c r="T237" s="50" t="n"/>
      <c r="U237" s="50" t="n"/>
    </row>
    <row r="238">
      <c r="B238" s="45" t="n"/>
      <c r="C238" s="46" t="n"/>
      <c r="E238" s="47" t="n"/>
      <c r="F238" s="47" t="n"/>
      <c r="G238" s="47" t="n"/>
      <c r="J238" s="48" t="n"/>
      <c r="K238" s="48" t="n"/>
      <c r="N238" s="47" t="n"/>
      <c r="O238" s="47" t="n"/>
      <c r="Q238" s="49">
        <f>IF(A238="","",IFERROR(INDEX('Famílias'!$E:$E,MATCH(A238,'Famílias'!$A:$A,0)),"família não cadastrada"))</f>
        <v/>
      </c>
      <c r="R238" s="50" t="n"/>
      <c r="S238" s="50" t="n"/>
      <c r="T238" s="50" t="n"/>
      <c r="U238" s="50" t="n"/>
    </row>
    <row r="239">
      <c r="B239" s="45" t="n"/>
      <c r="C239" s="46" t="n"/>
      <c r="E239" s="47" t="n"/>
      <c r="F239" s="47" t="n"/>
      <c r="G239" s="47" t="n"/>
      <c r="J239" s="48" t="n"/>
      <c r="K239" s="48" t="n"/>
      <c r="N239" s="47" t="n"/>
      <c r="O239" s="47" t="n"/>
      <c r="Q239" s="49">
        <f>IF(A239="","",IFERROR(INDEX('Famílias'!$E:$E,MATCH(A239,'Famílias'!$A:$A,0)),"família não cadastrada"))</f>
        <v/>
      </c>
      <c r="R239" s="50" t="n"/>
      <c r="S239" s="50" t="n"/>
      <c r="T239" s="50" t="n"/>
      <c r="U239" s="50" t="n"/>
    </row>
    <row r="240">
      <c r="B240" s="45" t="n"/>
      <c r="C240" s="46" t="n"/>
      <c r="E240" s="47" t="n"/>
      <c r="F240" s="47" t="n"/>
      <c r="G240" s="47" t="n"/>
      <c r="J240" s="48" t="n"/>
      <c r="K240" s="48" t="n"/>
      <c r="N240" s="47" t="n"/>
      <c r="O240" s="47" t="n"/>
      <c r="Q240" s="49">
        <f>IF(A240="","",IFERROR(INDEX('Famílias'!$E:$E,MATCH(A240,'Famílias'!$A:$A,0)),"família não cadastrada"))</f>
        <v/>
      </c>
      <c r="R240" s="50" t="n"/>
      <c r="S240" s="50" t="n"/>
      <c r="T240" s="50" t="n"/>
      <c r="U240" s="50" t="n"/>
    </row>
    <row r="241">
      <c r="B241" s="45" t="n"/>
      <c r="C241" s="46" t="n"/>
      <c r="E241" s="47" t="n"/>
      <c r="F241" s="47" t="n"/>
      <c r="G241" s="47" t="n"/>
      <c r="J241" s="48" t="n"/>
      <c r="K241" s="48" t="n"/>
      <c r="N241" s="47" t="n"/>
      <c r="O241" s="47" t="n"/>
      <c r="Q241" s="49">
        <f>IF(A241="","",IFERROR(INDEX('Famílias'!$E:$E,MATCH(A241,'Famílias'!$A:$A,0)),"família não cadastrada"))</f>
        <v/>
      </c>
      <c r="R241" s="50" t="n"/>
      <c r="S241" s="50" t="n"/>
      <c r="T241" s="50" t="n"/>
      <c r="U241" s="50" t="n"/>
    </row>
    <row r="242">
      <c r="B242" s="45" t="n"/>
      <c r="C242" s="46" t="n"/>
      <c r="E242" s="47" t="n"/>
      <c r="F242" s="47" t="n"/>
      <c r="G242" s="47" t="n"/>
      <c r="J242" s="48" t="n"/>
      <c r="K242" s="48" t="n"/>
      <c r="N242" s="47" t="n"/>
      <c r="O242" s="47" t="n"/>
      <c r="Q242" s="49">
        <f>IF(A242="","",IFERROR(INDEX('Famílias'!$E:$E,MATCH(A242,'Famílias'!$A:$A,0)),"família não cadastrada"))</f>
        <v/>
      </c>
      <c r="R242" s="50" t="n"/>
      <c r="S242" s="50" t="n"/>
      <c r="T242" s="50" t="n"/>
      <c r="U242" s="50" t="n"/>
    </row>
    <row r="243">
      <c r="B243" s="45" t="n"/>
      <c r="C243" s="46" t="n"/>
      <c r="E243" s="47" t="n"/>
      <c r="F243" s="47" t="n"/>
      <c r="G243" s="47" t="n"/>
      <c r="J243" s="48" t="n"/>
      <c r="K243" s="48" t="n"/>
      <c r="N243" s="47" t="n"/>
      <c r="O243" s="47" t="n"/>
      <c r="Q243" s="49">
        <f>IF(A243="","",IFERROR(INDEX('Famílias'!$E:$E,MATCH(A243,'Famílias'!$A:$A,0)),"família não cadastrada"))</f>
        <v/>
      </c>
      <c r="R243" s="50" t="n"/>
      <c r="S243" s="50" t="n"/>
      <c r="T243" s="50" t="n"/>
      <c r="U243" s="50" t="n"/>
    </row>
    <row r="244">
      <c r="B244" s="45" t="n"/>
      <c r="C244" s="46" t="n"/>
      <c r="E244" s="47" t="n"/>
      <c r="F244" s="47" t="n"/>
      <c r="G244" s="47" t="n"/>
      <c r="J244" s="48" t="n"/>
      <c r="K244" s="48" t="n"/>
      <c r="N244" s="47" t="n"/>
      <c r="O244" s="47" t="n"/>
      <c r="Q244" s="49">
        <f>IF(A244="","",IFERROR(INDEX('Famílias'!$E:$E,MATCH(A244,'Famílias'!$A:$A,0)),"família não cadastrada"))</f>
        <v/>
      </c>
      <c r="R244" s="50" t="n"/>
      <c r="S244" s="50" t="n"/>
      <c r="T244" s="50" t="n"/>
      <c r="U244" s="50" t="n"/>
    </row>
    <row r="245">
      <c r="B245" s="45" t="n"/>
      <c r="C245" s="46" t="n"/>
      <c r="E245" s="47" t="n"/>
      <c r="F245" s="47" t="n"/>
      <c r="G245" s="47" t="n"/>
      <c r="J245" s="48" t="n"/>
      <c r="K245" s="48" t="n"/>
      <c r="N245" s="47" t="n"/>
      <c r="O245" s="47" t="n"/>
      <c r="Q245" s="49">
        <f>IF(A245="","",IFERROR(INDEX('Famílias'!$E:$E,MATCH(A245,'Famílias'!$A:$A,0)),"família não cadastrada"))</f>
        <v/>
      </c>
      <c r="R245" s="50" t="n"/>
      <c r="S245" s="50" t="n"/>
      <c r="T245" s="50" t="n"/>
      <c r="U245" s="50" t="n"/>
    </row>
    <row r="246">
      <c r="B246" s="45" t="n"/>
      <c r="C246" s="46" t="n"/>
      <c r="E246" s="47" t="n"/>
      <c r="F246" s="47" t="n"/>
      <c r="G246" s="47" t="n"/>
      <c r="J246" s="48" t="n"/>
      <c r="K246" s="48" t="n"/>
      <c r="N246" s="47" t="n"/>
      <c r="O246" s="47" t="n"/>
      <c r="Q246" s="49">
        <f>IF(A246="","",IFERROR(INDEX('Famílias'!$E:$E,MATCH(A246,'Famílias'!$A:$A,0)),"família não cadastrada"))</f>
        <v/>
      </c>
      <c r="R246" s="50" t="n"/>
      <c r="S246" s="50" t="n"/>
      <c r="T246" s="50" t="n"/>
      <c r="U246" s="50" t="n"/>
    </row>
    <row r="247">
      <c r="B247" s="45" t="n"/>
      <c r="C247" s="46" t="n"/>
      <c r="E247" s="47" t="n"/>
      <c r="F247" s="47" t="n"/>
      <c r="G247" s="47" t="n"/>
      <c r="J247" s="48" t="n"/>
      <c r="K247" s="48" t="n"/>
      <c r="N247" s="47" t="n"/>
      <c r="O247" s="47" t="n"/>
      <c r="Q247" s="49">
        <f>IF(A247="","",IFERROR(INDEX('Famílias'!$E:$E,MATCH(A247,'Famílias'!$A:$A,0)),"família não cadastrada"))</f>
        <v/>
      </c>
      <c r="R247" s="50" t="n"/>
      <c r="S247" s="50" t="n"/>
      <c r="T247" s="50" t="n"/>
      <c r="U247" s="50" t="n"/>
    </row>
    <row r="248">
      <c r="B248" s="45" t="n"/>
      <c r="C248" s="46" t="n"/>
      <c r="E248" s="47" t="n"/>
      <c r="F248" s="47" t="n"/>
      <c r="G248" s="47" t="n"/>
      <c r="J248" s="48" t="n"/>
      <c r="K248" s="48" t="n"/>
      <c r="N248" s="47" t="n"/>
      <c r="O248" s="47" t="n"/>
      <c r="Q248" s="49">
        <f>IF(A248="","",IFERROR(INDEX('Famílias'!$E:$E,MATCH(A248,'Famílias'!$A:$A,0)),"família não cadastrada"))</f>
        <v/>
      </c>
      <c r="R248" s="50" t="n"/>
      <c r="S248" s="50" t="n"/>
      <c r="T248" s="50" t="n"/>
      <c r="U248" s="50" t="n"/>
    </row>
    <row r="249">
      <c r="B249" s="45" t="n"/>
      <c r="C249" s="46" t="n"/>
      <c r="E249" s="47" t="n"/>
      <c r="F249" s="47" t="n"/>
      <c r="G249" s="47" t="n"/>
      <c r="J249" s="48" t="n"/>
      <c r="K249" s="48" t="n"/>
      <c r="N249" s="47" t="n"/>
      <c r="O249" s="47" t="n"/>
      <c r="Q249" s="49">
        <f>IF(A249="","",IFERROR(INDEX('Famílias'!$E:$E,MATCH(A249,'Famílias'!$A:$A,0)),"família não cadastrada"))</f>
        <v/>
      </c>
      <c r="R249" s="50" t="n"/>
      <c r="S249" s="50" t="n"/>
      <c r="T249" s="50" t="n"/>
      <c r="U249" s="50" t="n"/>
    </row>
    <row r="250">
      <c r="B250" s="45" t="n"/>
      <c r="C250" s="46" t="n"/>
      <c r="E250" s="47" t="n"/>
      <c r="F250" s="47" t="n"/>
      <c r="G250" s="47" t="n"/>
      <c r="J250" s="48" t="n"/>
      <c r="K250" s="48" t="n"/>
      <c r="N250" s="47" t="n"/>
      <c r="O250" s="47" t="n"/>
      <c r="Q250" s="49">
        <f>IF(A250="","",IFERROR(INDEX('Famílias'!$E:$E,MATCH(A250,'Famílias'!$A:$A,0)),"família não cadastrada"))</f>
        <v/>
      </c>
      <c r="R250" s="50" t="n"/>
      <c r="S250" s="50" t="n"/>
      <c r="T250" s="50" t="n"/>
      <c r="U250" s="50" t="n"/>
    </row>
    <row r="251">
      <c r="B251" s="45" t="n"/>
      <c r="C251" s="46" t="n"/>
      <c r="E251" s="47" t="n"/>
      <c r="F251" s="47" t="n"/>
      <c r="G251" s="47" t="n"/>
      <c r="J251" s="48" t="n"/>
      <c r="K251" s="48" t="n"/>
      <c r="N251" s="47" t="n"/>
      <c r="O251" s="47" t="n"/>
      <c r="Q251" s="49">
        <f>IF(A251="","",IFERROR(INDEX('Famílias'!$E:$E,MATCH(A251,'Famílias'!$A:$A,0)),"família não cadastrada"))</f>
        <v/>
      </c>
      <c r="R251" s="50" t="n"/>
      <c r="S251" s="50" t="n"/>
      <c r="T251" s="50" t="n"/>
      <c r="U251" s="50" t="n"/>
    </row>
    <row r="252">
      <c r="B252" s="45" t="n"/>
      <c r="C252" s="46" t="n"/>
      <c r="E252" s="47" t="n"/>
      <c r="F252" s="47" t="n"/>
      <c r="G252" s="47" t="n"/>
      <c r="J252" s="48" t="n"/>
      <c r="K252" s="48" t="n"/>
      <c r="N252" s="47" t="n"/>
      <c r="O252" s="47" t="n"/>
      <c r="Q252" s="49">
        <f>IF(A252="","",IFERROR(INDEX('Famílias'!$E:$E,MATCH(A252,'Famílias'!$A:$A,0)),"família não cadastrada"))</f>
        <v/>
      </c>
      <c r="R252" s="50" t="n"/>
      <c r="S252" s="50" t="n"/>
      <c r="T252" s="50" t="n"/>
      <c r="U252" s="50" t="n"/>
    </row>
    <row r="253">
      <c r="B253" s="45" t="n"/>
      <c r="C253" s="46" t="n"/>
      <c r="E253" s="47" t="n"/>
      <c r="F253" s="47" t="n"/>
      <c r="G253" s="47" t="n"/>
      <c r="J253" s="48" t="n"/>
      <c r="K253" s="48" t="n"/>
      <c r="N253" s="47" t="n"/>
      <c r="O253" s="47" t="n"/>
      <c r="Q253" s="49">
        <f>IF(A253="","",IFERROR(INDEX('Famílias'!$E:$E,MATCH(A253,'Famílias'!$A:$A,0)),"família não cadastrada"))</f>
        <v/>
      </c>
      <c r="R253" s="50" t="n"/>
      <c r="S253" s="50" t="n"/>
      <c r="T253" s="50" t="n"/>
      <c r="U253" s="50" t="n"/>
    </row>
    <row r="254">
      <c r="B254" s="45" t="n"/>
      <c r="C254" s="46" t="n"/>
      <c r="E254" s="47" t="n"/>
      <c r="F254" s="47" t="n"/>
      <c r="G254" s="47" t="n"/>
      <c r="J254" s="48" t="n"/>
      <c r="K254" s="48" t="n"/>
      <c r="N254" s="47" t="n"/>
      <c r="O254" s="47" t="n"/>
      <c r="Q254" s="49">
        <f>IF(A254="","",IFERROR(INDEX('Famílias'!$E:$E,MATCH(A254,'Famílias'!$A:$A,0)),"família não cadastrada"))</f>
        <v/>
      </c>
      <c r="R254" s="50" t="n"/>
      <c r="S254" s="50" t="n"/>
      <c r="T254" s="50" t="n"/>
      <c r="U254" s="50" t="n"/>
    </row>
    <row r="255">
      <c r="B255" s="45" t="n"/>
      <c r="C255" s="46" t="n"/>
      <c r="E255" s="47" t="n"/>
      <c r="F255" s="47" t="n"/>
      <c r="G255" s="47" t="n"/>
      <c r="J255" s="48" t="n"/>
      <c r="K255" s="48" t="n"/>
      <c r="N255" s="47" t="n"/>
      <c r="O255" s="47" t="n"/>
      <c r="Q255" s="49">
        <f>IF(A255="","",IFERROR(INDEX('Famílias'!$E:$E,MATCH(A255,'Famílias'!$A:$A,0)),"família não cadastrada"))</f>
        <v/>
      </c>
      <c r="R255" s="50" t="n"/>
      <c r="S255" s="50" t="n"/>
      <c r="T255" s="50" t="n"/>
      <c r="U255" s="50" t="n"/>
    </row>
    <row r="256">
      <c r="B256" s="45" t="n"/>
      <c r="C256" s="46" t="n"/>
      <c r="E256" s="47" t="n"/>
      <c r="F256" s="47" t="n"/>
      <c r="G256" s="47" t="n"/>
      <c r="J256" s="48" t="n"/>
      <c r="K256" s="48" t="n"/>
      <c r="N256" s="47" t="n"/>
      <c r="O256" s="47" t="n"/>
      <c r="Q256" s="49">
        <f>IF(A256="","",IFERROR(INDEX('Famílias'!$E:$E,MATCH(A256,'Famílias'!$A:$A,0)),"família não cadastrada"))</f>
        <v/>
      </c>
      <c r="R256" s="50" t="n"/>
      <c r="S256" s="50" t="n"/>
      <c r="T256" s="50" t="n"/>
      <c r="U256" s="50" t="n"/>
    </row>
    <row r="257">
      <c r="B257" s="45" t="n"/>
      <c r="C257" s="46" t="n"/>
      <c r="E257" s="47" t="n"/>
      <c r="F257" s="47" t="n"/>
      <c r="G257" s="47" t="n"/>
      <c r="J257" s="48" t="n"/>
      <c r="K257" s="48" t="n"/>
      <c r="N257" s="47" t="n"/>
      <c r="O257" s="47" t="n"/>
      <c r="Q257" s="49">
        <f>IF(A257="","",IFERROR(INDEX('Famílias'!$E:$E,MATCH(A257,'Famílias'!$A:$A,0)),"família não cadastrada"))</f>
        <v/>
      </c>
      <c r="R257" s="50" t="n"/>
      <c r="S257" s="50" t="n"/>
      <c r="T257" s="50" t="n"/>
      <c r="U257" s="50" t="n"/>
    </row>
    <row r="258">
      <c r="B258" s="45" t="n"/>
      <c r="C258" s="46" t="n"/>
      <c r="E258" s="47" t="n"/>
      <c r="F258" s="47" t="n"/>
      <c r="G258" s="47" t="n"/>
      <c r="J258" s="48" t="n"/>
      <c r="K258" s="48" t="n"/>
      <c r="N258" s="47" t="n"/>
      <c r="O258" s="47" t="n"/>
      <c r="Q258" s="49">
        <f>IF(A258="","",IFERROR(INDEX('Famílias'!$E:$E,MATCH(A258,'Famílias'!$A:$A,0)),"família não cadastrada"))</f>
        <v/>
      </c>
      <c r="R258" s="50" t="n"/>
      <c r="S258" s="50" t="n"/>
      <c r="T258" s="50" t="n"/>
      <c r="U258" s="50" t="n"/>
    </row>
    <row r="259">
      <c r="B259" s="45" t="n"/>
      <c r="C259" s="46" t="n"/>
      <c r="E259" s="47" t="n"/>
      <c r="F259" s="47" t="n"/>
      <c r="G259" s="47" t="n"/>
      <c r="J259" s="48" t="n"/>
      <c r="K259" s="48" t="n"/>
      <c r="N259" s="47" t="n"/>
      <c r="O259" s="47" t="n"/>
      <c r="Q259" s="49">
        <f>IF(A259="","",IFERROR(INDEX('Famílias'!$E:$E,MATCH(A259,'Famílias'!$A:$A,0)),"família não cadastrada"))</f>
        <v/>
      </c>
      <c r="R259" s="50" t="n"/>
      <c r="S259" s="50" t="n"/>
      <c r="T259" s="50" t="n"/>
      <c r="U259" s="50" t="n"/>
    </row>
    <row r="260">
      <c r="B260" s="45" t="n"/>
      <c r="C260" s="46" t="n"/>
      <c r="E260" s="47" t="n"/>
      <c r="F260" s="47" t="n"/>
      <c r="G260" s="47" t="n"/>
      <c r="J260" s="48" t="n"/>
      <c r="K260" s="48" t="n"/>
      <c r="N260" s="47" t="n"/>
      <c r="O260" s="47" t="n"/>
      <c r="Q260" s="49">
        <f>IF(A260="","",IFERROR(INDEX('Famílias'!$E:$E,MATCH(A260,'Famílias'!$A:$A,0)),"família não cadastrada"))</f>
        <v/>
      </c>
      <c r="R260" s="50" t="n"/>
      <c r="S260" s="50" t="n"/>
      <c r="T260" s="50" t="n"/>
      <c r="U260" s="50" t="n"/>
    </row>
    <row r="261">
      <c r="B261" s="45" t="n"/>
      <c r="C261" s="46" t="n"/>
      <c r="E261" s="47" t="n"/>
      <c r="F261" s="47" t="n"/>
      <c r="G261" s="47" t="n"/>
      <c r="J261" s="48" t="n"/>
      <c r="K261" s="48" t="n"/>
      <c r="N261" s="47" t="n"/>
      <c r="O261" s="47" t="n"/>
      <c r="Q261" s="49">
        <f>IF(A261="","",IFERROR(INDEX('Famílias'!$E:$E,MATCH(A261,'Famílias'!$A:$A,0)),"família não cadastrada"))</f>
        <v/>
      </c>
      <c r="R261" s="50" t="n"/>
      <c r="S261" s="50" t="n"/>
      <c r="T261" s="50" t="n"/>
      <c r="U261" s="50" t="n"/>
    </row>
    <row r="262">
      <c r="B262" s="45" t="n"/>
      <c r="C262" s="46" t="n"/>
      <c r="E262" s="47" t="n"/>
      <c r="F262" s="47" t="n"/>
      <c r="G262" s="47" t="n"/>
      <c r="J262" s="48" t="n"/>
      <c r="K262" s="48" t="n"/>
      <c r="N262" s="47" t="n"/>
      <c r="O262" s="47" t="n"/>
      <c r="Q262" s="49">
        <f>IF(A262="","",IFERROR(INDEX('Famílias'!$E:$E,MATCH(A262,'Famílias'!$A:$A,0)),"família não cadastrada"))</f>
        <v/>
      </c>
      <c r="R262" s="50" t="n"/>
      <c r="S262" s="50" t="n"/>
      <c r="T262" s="50" t="n"/>
      <c r="U262" s="50" t="n"/>
    </row>
    <row r="263">
      <c r="B263" s="45" t="n"/>
      <c r="C263" s="46" t="n"/>
      <c r="E263" s="47" t="n"/>
      <c r="F263" s="47" t="n"/>
      <c r="G263" s="47" t="n"/>
      <c r="J263" s="48" t="n"/>
      <c r="K263" s="48" t="n"/>
      <c r="N263" s="47" t="n"/>
      <c r="O263" s="47" t="n"/>
      <c r="Q263" s="49">
        <f>IF(A263="","",IFERROR(INDEX('Famílias'!$E:$E,MATCH(A263,'Famílias'!$A:$A,0)),"família não cadastrada"))</f>
        <v/>
      </c>
      <c r="R263" s="50" t="n"/>
      <c r="S263" s="50" t="n"/>
      <c r="T263" s="50" t="n"/>
      <c r="U263" s="50" t="n"/>
    </row>
    <row r="264">
      <c r="B264" s="45" t="n"/>
      <c r="C264" s="46" t="n"/>
      <c r="E264" s="47" t="n"/>
      <c r="F264" s="47" t="n"/>
      <c r="G264" s="47" t="n"/>
      <c r="J264" s="48" t="n"/>
      <c r="K264" s="48" t="n"/>
      <c r="N264" s="47" t="n"/>
      <c r="O264" s="47" t="n"/>
      <c r="Q264" s="49">
        <f>IF(A264="","",IFERROR(INDEX('Famílias'!$E:$E,MATCH(A264,'Famílias'!$A:$A,0)),"família não cadastrada"))</f>
        <v/>
      </c>
      <c r="R264" s="50" t="n"/>
      <c r="S264" s="50" t="n"/>
      <c r="T264" s="50" t="n"/>
      <c r="U264" s="50" t="n"/>
    </row>
    <row r="265">
      <c r="B265" s="45" t="n"/>
      <c r="C265" s="46" t="n"/>
      <c r="E265" s="47" t="n"/>
      <c r="F265" s="47" t="n"/>
      <c r="G265" s="47" t="n"/>
      <c r="J265" s="48" t="n"/>
      <c r="K265" s="48" t="n"/>
      <c r="N265" s="47" t="n"/>
      <c r="O265" s="47" t="n"/>
      <c r="Q265" s="49">
        <f>IF(A265="","",IFERROR(INDEX('Famílias'!$E:$E,MATCH(A265,'Famílias'!$A:$A,0)),"família não cadastrada"))</f>
        <v/>
      </c>
      <c r="R265" s="50" t="n"/>
      <c r="S265" s="50" t="n"/>
      <c r="T265" s="50" t="n"/>
      <c r="U265" s="50" t="n"/>
    </row>
    <row r="266">
      <c r="B266" s="45" t="n"/>
      <c r="C266" s="46" t="n"/>
      <c r="E266" s="47" t="n"/>
      <c r="F266" s="47" t="n"/>
      <c r="G266" s="47" t="n"/>
      <c r="J266" s="48" t="n"/>
      <c r="K266" s="48" t="n"/>
      <c r="N266" s="47" t="n"/>
      <c r="O266" s="47" t="n"/>
      <c r="Q266" s="49">
        <f>IF(A266="","",IFERROR(INDEX('Famílias'!$E:$E,MATCH(A266,'Famílias'!$A:$A,0)),"família não cadastrada"))</f>
        <v/>
      </c>
      <c r="R266" s="50" t="n"/>
      <c r="S266" s="50" t="n"/>
      <c r="T266" s="50" t="n"/>
      <c r="U266" s="50" t="n"/>
    </row>
    <row r="267">
      <c r="B267" s="45" t="n"/>
      <c r="C267" s="46" t="n"/>
      <c r="E267" s="47" t="n"/>
      <c r="F267" s="47" t="n"/>
      <c r="G267" s="47" t="n"/>
      <c r="J267" s="48" t="n"/>
      <c r="K267" s="48" t="n"/>
      <c r="N267" s="47" t="n"/>
      <c r="O267" s="47" t="n"/>
      <c r="Q267" s="49">
        <f>IF(A267="","",IFERROR(INDEX('Famílias'!$E:$E,MATCH(A267,'Famílias'!$A:$A,0)),"família não cadastrada"))</f>
        <v/>
      </c>
      <c r="R267" s="50" t="n"/>
      <c r="S267" s="50" t="n"/>
      <c r="T267" s="50" t="n"/>
      <c r="U267" s="50" t="n"/>
    </row>
    <row r="268">
      <c r="B268" s="45" t="n"/>
      <c r="C268" s="46" t="n"/>
      <c r="E268" s="47" t="n"/>
      <c r="F268" s="47" t="n"/>
      <c r="G268" s="47" t="n"/>
      <c r="J268" s="48" t="n"/>
      <c r="K268" s="48" t="n"/>
      <c r="N268" s="47" t="n"/>
      <c r="O268" s="47" t="n"/>
      <c r="Q268" s="49">
        <f>IF(A268="","",IFERROR(INDEX('Famílias'!$E:$E,MATCH(A268,'Famílias'!$A:$A,0)),"família não cadastrada"))</f>
        <v/>
      </c>
      <c r="R268" s="50" t="n"/>
      <c r="S268" s="50" t="n"/>
      <c r="T268" s="50" t="n"/>
      <c r="U268" s="50" t="n"/>
    </row>
    <row r="269">
      <c r="B269" s="45" t="n"/>
      <c r="C269" s="46" t="n"/>
      <c r="E269" s="47" t="n"/>
      <c r="F269" s="47" t="n"/>
      <c r="G269" s="47" t="n"/>
      <c r="J269" s="48" t="n"/>
      <c r="K269" s="48" t="n"/>
      <c r="N269" s="47" t="n"/>
      <c r="O269" s="47" t="n"/>
      <c r="Q269" s="49">
        <f>IF(A269="","",IFERROR(INDEX('Famílias'!$E:$E,MATCH(A269,'Famílias'!$A:$A,0)),"família não cadastrada"))</f>
        <v/>
      </c>
      <c r="R269" s="50" t="n"/>
      <c r="S269" s="50" t="n"/>
      <c r="T269" s="50" t="n"/>
      <c r="U269" s="50" t="n"/>
    </row>
    <row r="270">
      <c r="B270" s="45" t="n"/>
      <c r="C270" s="46" t="n"/>
      <c r="E270" s="47" t="n"/>
      <c r="F270" s="47" t="n"/>
      <c r="G270" s="47" t="n"/>
      <c r="J270" s="48" t="n"/>
      <c r="K270" s="48" t="n"/>
      <c r="N270" s="47" t="n"/>
      <c r="O270" s="47" t="n"/>
      <c r="Q270" s="49">
        <f>IF(A270="","",IFERROR(INDEX('Famílias'!$E:$E,MATCH(A270,'Famílias'!$A:$A,0)),"família não cadastrada"))</f>
        <v/>
      </c>
      <c r="R270" s="50" t="n"/>
      <c r="S270" s="50" t="n"/>
      <c r="T270" s="50" t="n"/>
      <c r="U270" s="50" t="n"/>
    </row>
    <row r="271">
      <c r="B271" s="45" t="n"/>
      <c r="C271" s="46" t="n"/>
      <c r="E271" s="47" t="n"/>
      <c r="F271" s="47" t="n"/>
      <c r="G271" s="47" t="n"/>
      <c r="J271" s="48" t="n"/>
      <c r="K271" s="48" t="n"/>
      <c r="N271" s="47" t="n"/>
      <c r="O271" s="47" t="n"/>
      <c r="Q271" s="49">
        <f>IF(A271="","",IFERROR(INDEX('Famílias'!$E:$E,MATCH(A271,'Famílias'!$A:$A,0)),"família não cadastrada"))</f>
        <v/>
      </c>
      <c r="R271" s="50" t="n"/>
      <c r="S271" s="50" t="n"/>
      <c r="T271" s="50" t="n"/>
      <c r="U271" s="50" t="n"/>
    </row>
    <row r="272">
      <c r="B272" s="45" t="n"/>
      <c r="C272" s="46" t="n"/>
      <c r="E272" s="47" t="n"/>
      <c r="F272" s="47" t="n"/>
      <c r="G272" s="47" t="n"/>
      <c r="J272" s="48" t="n"/>
      <c r="K272" s="48" t="n"/>
      <c r="N272" s="47" t="n"/>
      <c r="O272" s="47" t="n"/>
      <c r="Q272" s="49">
        <f>IF(A272="","",IFERROR(INDEX('Famílias'!$E:$E,MATCH(A272,'Famílias'!$A:$A,0)),"família não cadastrada"))</f>
        <v/>
      </c>
      <c r="R272" s="50" t="n"/>
      <c r="S272" s="50" t="n"/>
      <c r="T272" s="50" t="n"/>
      <c r="U272" s="50" t="n"/>
    </row>
    <row r="273">
      <c r="B273" s="45" t="n"/>
      <c r="C273" s="46" t="n"/>
      <c r="E273" s="47" t="n"/>
      <c r="F273" s="47" t="n"/>
      <c r="G273" s="47" t="n"/>
      <c r="J273" s="48" t="n"/>
      <c r="K273" s="48" t="n"/>
      <c r="N273" s="47" t="n"/>
      <c r="O273" s="47" t="n"/>
      <c r="Q273" s="49">
        <f>IF(A273="","",IFERROR(INDEX('Famílias'!$E:$E,MATCH(A273,'Famílias'!$A:$A,0)),"família não cadastrada"))</f>
        <v/>
      </c>
      <c r="R273" s="50" t="n"/>
      <c r="S273" s="50" t="n"/>
      <c r="T273" s="50" t="n"/>
      <c r="U273" s="50" t="n"/>
    </row>
    <row r="274">
      <c r="B274" s="45" t="n"/>
      <c r="C274" s="46" t="n"/>
      <c r="E274" s="47" t="n"/>
      <c r="F274" s="47" t="n"/>
      <c r="G274" s="47" t="n"/>
      <c r="J274" s="48" t="n"/>
      <c r="K274" s="48" t="n"/>
      <c r="N274" s="47" t="n"/>
      <c r="O274" s="47" t="n"/>
      <c r="Q274" s="49">
        <f>IF(A274="","",IFERROR(INDEX('Famílias'!$E:$E,MATCH(A274,'Famílias'!$A:$A,0)),"família não cadastrada"))</f>
        <v/>
      </c>
      <c r="R274" s="50" t="n"/>
      <c r="S274" s="50" t="n"/>
      <c r="T274" s="50" t="n"/>
      <c r="U274" s="50" t="n"/>
    </row>
    <row r="275">
      <c r="B275" s="45" t="n"/>
      <c r="C275" s="46" t="n"/>
      <c r="E275" s="47" t="n"/>
      <c r="F275" s="47" t="n"/>
      <c r="G275" s="47" t="n"/>
      <c r="J275" s="48" t="n"/>
      <c r="K275" s="48" t="n"/>
      <c r="N275" s="47" t="n"/>
      <c r="O275" s="47" t="n"/>
      <c r="Q275" s="49">
        <f>IF(A275="","",IFERROR(INDEX('Famílias'!$E:$E,MATCH(A275,'Famílias'!$A:$A,0)),"família não cadastrada"))</f>
        <v/>
      </c>
      <c r="R275" s="50" t="n"/>
      <c r="S275" s="50" t="n"/>
      <c r="T275" s="50" t="n"/>
      <c r="U275" s="50" t="n"/>
    </row>
    <row r="276">
      <c r="B276" s="45" t="n"/>
      <c r="C276" s="46" t="n"/>
      <c r="E276" s="47" t="n"/>
      <c r="F276" s="47" t="n"/>
      <c r="G276" s="47" t="n"/>
      <c r="J276" s="48" t="n"/>
      <c r="K276" s="48" t="n"/>
      <c r="N276" s="47" t="n"/>
      <c r="O276" s="47" t="n"/>
      <c r="Q276" s="49">
        <f>IF(A276="","",IFERROR(INDEX('Famílias'!$E:$E,MATCH(A276,'Famílias'!$A:$A,0)),"família não cadastrada"))</f>
        <v/>
      </c>
      <c r="R276" s="50" t="n"/>
      <c r="S276" s="50" t="n"/>
      <c r="T276" s="50" t="n"/>
      <c r="U276" s="50" t="n"/>
    </row>
    <row r="277">
      <c r="B277" s="45" t="n"/>
      <c r="C277" s="46" t="n"/>
      <c r="E277" s="47" t="n"/>
      <c r="F277" s="47" t="n"/>
      <c r="G277" s="47" t="n"/>
      <c r="J277" s="48" t="n"/>
      <c r="K277" s="48" t="n"/>
      <c r="N277" s="47" t="n"/>
      <c r="O277" s="47" t="n"/>
      <c r="Q277" s="49">
        <f>IF(A277="","",IFERROR(INDEX('Famílias'!$E:$E,MATCH(A277,'Famílias'!$A:$A,0)),"família não cadastrada"))</f>
        <v/>
      </c>
      <c r="R277" s="50" t="n"/>
      <c r="S277" s="50" t="n"/>
      <c r="T277" s="50" t="n"/>
      <c r="U277" s="50" t="n"/>
    </row>
    <row r="278">
      <c r="B278" s="45" t="n"/>
      <c r="C278" s="46" t="n"/>
      <c r="E278" s="47" t="n"/>
      <c r="F278" s="47" t="n"/>
      <c r="G278" s="47" t="n"/>
      <c r="J278" s="48" t="n"/>
      <c r="K278" s="48" t="n"/>
      <c r="N278" s="47" t="n"/>
      <c r="O278" s="47" t="n"/>
      <c r="Q278" s="49">
        <f>IF(A278="","",IFERROR(INDEX('Famílias'!$E:$E,MATCH(A278,'Famílias'!$A:$A,0)),"família não cadastrada"))</f>
        <v/>
      </c>
      <c r="R278" s="50" t="n"/>
      <c r="S278" s="50" t="n"/>
      <c r="T278" s="50" t="n"/>
      <c r="U278" s="50" t="n"/>
    </row>
    <row r="279">
      <c r="B279" s="45" t="n"/>
      <c r="C279" s="46" t="n"/>
      <c r="E279" s="47" t="n"/>
      <c r="F279" s="47" t="n"/>
      <c r="G279" s="47" t="n"/>
      <c r="J279" s="48" t="n"/>
      <c r="K279" s="48" t="n"/>
      <c r="N279" s="47" t="n"/>
      <c r="O279" s="47" t="n"/>
      <c r="Q279" s="49">
        <f>IF(A279="","",IFERROR(INDEX('Famílias'!$E:$E,MATCH(A279,'Famílias'!$A:$A,0)),"família não cadastrada"))</f>
        <v/>
      </c>
      <c r="R279" s="50" t="n"/>
      <c r="S279" s="50" t="n"/>
      <c r="T279" s="50" t="n"/>
      <c r="U279" s="50" t="n"/>
    </row>
    <row r="280">
      <c r="B280" s="45" t="n"/>
      <c r="C280" s="46" t="n"/>
      <c r="E280" s="47" t="n"/>
      <c r="F280" s="47" t="n"/>
      <c r="G280" s="47" t="n"/>
      <c r="J280" s="48" t="n"/>
      <c r="K280" s="48" t="n"/>
      <c r="N280" s="47" t="n"/>
      <c r="O280" s="47" t="n"/>
      <c r="Q280" s="49">
        <f>IF(A280="","",IFERROR(INDEX('Famílias'!$E:$E,MATCH(A280,'Famílias'!$A:$A,0)),"família não cadastrada"))</f>
        <v/>
      </c>
      <c r="R280" s="50" t="n"/>
      <c r="S280" s="50" t="n"/>
      <c r="T280" s="50" t="n"/>
      <c r="U280" s="50" t="n"/>
    </row>
    <row r="281">
      <c r="B281" s="45" t="n"/>
      <c r="C281" s="46" t="n"/>
      <c r="E281" s="47" t="n"/>
      <c r="F281" s="47" t="n"/>
      <c r="G281" s="47" t="n"/>
      <c r="J281" s="48" t="n"/>
      <c r="K281" s="48" t="n"/>
      <c r="N281" s="47" t="n"/>
      <c r="O281" s="47" t="n"/>
      <c r="Q281" s="49">
        <f>IF(A281="","",IFERROR(INDEX('Famílias'!$E:$E,MATCH(A281,'Famílias'!$A:$A,0)),"família não cadastrada"))</f>
        <v/>
      </c>
      <c r="R281" s="50" t="n"/>
      <c r="S281" s="50" t="n"/>
      <c r="T281" s="50" t="n"/>
      <c r="U281" s="50" t="n"/>
    </row>
    <row r="282">
      <c r="B282" s="45" t="n"/>
      <c r="C282" s="46" t="n"/>
      <c r="E282" s="47" t="n"/>
      <c r="F282" s="47" t="n"/>
      <c r="G282" s="47" t="n"/>
      <c r="J282" s="48" t="n"/>
      <c r="K282" s="48" t="n"/>
      <c r="N282" s="47" t="n"/>
      <c r="O282" s="47" t="n"/>
      <c r="Q282" s="49">
        <f>IF(A282="","",IFERROR(INDEX('Famílias'!$E:$E,MATCH(A282,'Famílias'!$A:$A,0)),"família não cadastrada"))</f>
        <v/>
      </c>
      <c r="R282" s="50" t="n"/>
      <c r="S282" s="50" t="n"/>
      <c r="T282" s="50" t="n"/>
      <c r="U282" s="50" t="n"/>
    </row>
    <row r="283">
      <c r="B283" s="45" t="n"/>
      <c r="C283" s="46" t="n"/>
      <c r="E283" s="47" t="n"/>
      <c r="F283" s="47" t="n"/>
      <c r="G283" s="47" t="n"/>
      <c r="J283" s="48" t="n"/>
      <c r="K283" s="48" t="n"/>
      <c r="N283" s="47" t="n"/>
      <c r="O283" s="47" t="n"/>
      <c r="Q283" s="49">
        <f>IF(A283="","",IFERROR(INDEX('Famílias'!$E:$E,MATCH(A283,'Famílias'!$A:$A,0)),"família não cadastrada"))</f>
        <v/>
      </c>
      <c r="R283" s="50" t="n"/>
      <c r="S283" s="50" t="n"/>
      <c r="T283" s="50" t="n"/>
      <c r="U283" s="50" t="n"/>
    </row>
    <row r="284">
      <c r="B284" s="45" t="n"/>
      <c r="C284" s="46" t="n"/>
      <c r="E284" s="47" t="n"/>
      <c r="F284" s="47" t="n"/>
      <c r="G284" s="47" t="n"/>
      <c r="J284" s="48" t="n"/>
      <c r="K284" s="48" t="n"/>
      <c r="N284" s="47" t="n"/>
      <c r="O284" s="47" t="n"/>
      <c r="Q284" s="49">
        <f>IF(A284="","",IFERROR(INDEX('Famílias'!$E:$E,MATCH(A284,'Famílias'!$A:$A,0)),"família não cadastrada"))</f>
        <v/>
      </c>
      <c r="R284" s="50" t="n"/>
      <c r="S284" s="50" t="n"/>
      <c r="T284" s="50" t="n"/>
      <c r="U284" s="50" t="n"/>
    </row>
    <row r="285">
      <c r="B285" s="45" t="n"/>
      <c r="C285" s="46" t="n"/>
      <c r="E285" s="47" t="n"/>
      <c r="F285" s="47" t="n"/>
      <c r="G285" s="47" t="n"/>
      <c r="J285" s="48" t="n"/>
      <c r="K285" s="48" t="n"/>
      <c r="N285" s="47" t="n"/>
      <c r="O285" s="47" t="n"/>
      <c r="Q285" s="49">
        <f>IF(A285="","",IFERROR(INDEX('Famílias'!$E:$E,MATCH(A285,'Famílias'!$A:$A,0)),"família não cadastrada"))</f>
        <v/>
      </c>
      <c r="R285" s="50" t="n"/>
      <c r="S285" s="50" t="n"/>
      <c r="T285" s="50" t="n"/>
      <c r="U285" s="50" t="n"/>
    </row>
    <row r="286">
      <c r="B286" s="45" t="n"/>
      <c r="C286" s="46" t="n"/>
      <c r="E286" s="47" t="n"/>
      <c r="F286" s="47" t="n"/>
      <c r="G286" s="47" t="n"/>
      <c r="J286" s="48" t="n"/>
      <c r="K286" s="48" t="n"/>
      <c r="N286" s="47" t="n"/>
      <c r="O286" s="47" t="n"/>
      <c r="Q286" s="49">
        <f>IF(A286="","",IFERROR(INDEX('Famílias'!$E:$E,MATCH(A286,'Famílias'!$A:$A,0)),"família não cadastrada"))</f>
        <v/>
      </c>
      <c r="R286" s="50" t="n"/>
      <c r="S286" s="50" t="n"/>
      <c r="T286" s="50" t="n"/>
      <c r="U286" s="50" t="n"/>
    </row>
    <row r="287">
      <c r="B287" s="45" t="n"/>
      <c r="C287" s="46" t="n"/>
      <c r="E287" s="47" t="n"/>
      <c r="F287" s="47" t="n"/>
      <c r="G287" s="47" t="n"/>
      <c r="J287" s="48" t="n"/>
      <c r="K287" s="48" t="n"/>
      <c r="N287" s="47" t="n"/>
      <c r="O287" s="47" t="n"/>
      <c r="Q287" s="49">
        <f>IF(A287="","",IFERROR(INDEX('Famílias'!$E:$E,MATCH(A287,'Famílias'!$A:$A,0)),"família não cadastrada"))</f>
        <v/>
      </c>
      <c r="R287" s="50" t="n"/>
      <c r="S287" s="50" t="n"/>
      <c r="T287" s="50" t="n"/>
      <c r="U287" s="50" t="n"/>
    </row>
    <row r="288">
      <c r="B288" s="45" t="n"/>
      <c r="C288" s="46" t="n"/>
      <c r="E288" s="47" t="n"/>
      <c r="F288" s="47" t="n"/>
      <c r="G288" s="47" t="n"/>
      <c r="J288" s="48" t="n"/>
      <c r="K288" s="48" t="n"/>
      <c r="N288" s="47" t="n"/>
      <c r="O288" s="47" t="n"/>
      <c r="Q288" s="49">
        <f>IF(A288="","",IFERROR(INDEX('Famílias'!$E:$E,MATCH(A288,'Famílias'!$A:$A,0)),"família não cadastrada"))</f>
        <v/>
      </c>
      <c r="R288" s="50" t="n"/>
      <c r="S288" s="50" t="n"/>
      <c r="T288" s="50" t="n"/>
      <c r="U288" s="50" t="n"/>
    </row>
    <row r="289">
      <c r="B289" s="45" t="n"/>
      <c r="C289" s="46" t="n"/>
      <c r="E289" s="47" t="n"/>
      <c r="F289" s="47" t="n"/>
      <c r="G289" s="47" t="n"/>
      <c r="J289" s="48" t="n"/>
      <c r="K289" s="48" t="n"/>
      <c r="N289" s="47" t="n"/>
      <c r="O289" s="47" t="n"/>
      <c r="Q289" s="49">
        <f>IF(A289="","",IFERROR(INDEX('Famílias'!$E:$E,MATCH(A289,'Famílias'!$A:$A,0)),"família não cadastrada"))</f>
        <v/>
      </c>
      <c r="R289" s="50" t="n"/>
      <c r="S289" s="50" t="n"/>
      <c r="T289" s="50" t="n"/>
      <c r="U289" s="50" t="n"/>
    </row>
    <row r="290">
      <c r="B290" s="45" t="n"/>
      <c r="C290" s="46" t="n"/>
      <c r="E290" s="47" t="n"/>
      <c r="F290" s="47" t="n"/>
      <c r="G290" s="47" t="n"/>
      <c r="J290" s="48" t="n"/>
      <c r="K290" s="48" t="n"/>
      <c r="N290" s="47" t="n"/>
      <c r="O290" s="47" t="n"/>
      <c r="Q290" s="49">
        <f>IF(A290="","",IFERROR(INDEX('Famílias'!$E:$E,MATCH(A290,'Famílias'!$A:$A,0)),"família não cadastrada"))</f>
        <v/>
      </c>
      <c r="R290" s="50" t="n"/>
      <c r="S290" s="50" t="n"/>
      <c r="T290" s="50" t="n"/>
      <c r="U290" s="50" t="n"/>
    </row>
    <row r="291">
      <c r="B291" s="45" t="n"/>
      <c r="C291" s="46" t="n"/>
      <c r="E291" s="47" t="n"/>
      <c r="F291" s="47" t="n"/>
      <c r="G291" s="47" t="n"/>
      <c r="J291" s="48" t="n"/>
      <c r="K291" s="48" t="n"/>
      <c r="N291" s="47" t="n"/>
      <c r="O291" s="47" t="n"/>
      <c r="Q291" s="49">
        <f>IF(A291="","",IFERROR(INDEX('Famílias'!$E:$E,MATCH(A291,'Famílias'!$A:$A,0)),"família não cadastrada"))</f>
        <v/>
      </c>
      <c r="R291" s="50" t="n"/>
      <c r="S291" s="50" t="n"/>
      <c r="T291" s="50" t="n"/>
      <c r="U291" s="50" t="n"/>
    </row>
    <row r="292">
      <c r="B292" s="45" t="n"/>
      <c r="C292" s="46" t="n"/>
      <c r="E292" s="47" t="n"/>
      <c r="F292" s="47" t="n"/>
      <c r="G292" s="47" t="n"/>
      <c r="J292" s="48" t="n"/>
      <c r="K292" s="48" t="n"/>
      <c r="N292" s="47" t="n"/>
      <c r="O292" s="47" t="n"/>
      <c r="Q292" s="49">
        <f>IF(A292="","",IFERROR(INDEX('Famílias'!$E:$E,MATCH(A292,'Famílias'!$A:$A,0)),"família não cadastrada"))</f>
        <v/>
      </c>
      <c r="R292" s="50" t="n"/>
      <c r="S292" s="50" t="n"/>
      <c r="T292" s="50" t="n"/>
      <c r="U292" s="50" t="n"/>
    </row>
    <row r="293">
      <c r="B293" s="45" t="n"/>
      <c r="C293" s="46" t="n"/>
      <c r="E293" s="47" t="n"/>
      <c r="F293" s="47" t="n"/>
      <c r="G293" s="47" t="n"/>
      <c r="J293" s="48" t="n"/>
      <c r="K293" s="48" t="n"/>
      <c r="N293" s="47" t="n"/>
      <c r="O293" s="47" t="n"/>
      <c r="Q293" s="49">
        <f>IF(A293="","",IFERROR(INDEX('Famílias'!$E:$E,MATCH(A293,'Famílias'!$A:$A,0)),"família não cadastrada"))</f>
        <v/>
      </c>
      <c r="R293" s="50" t="n"/>
      <c r="S293" s="50" t="n"/>
      <c r="T293" s="50" t="n"/>
      <c r="U293" s="50" t="n"/>
    </row>
    <row r="294">
      <c r="B294" s="45" t="n"/>
      <c r="C294" s="46" t="n"/>
      <c r="E294" s="47" t="n"/>
      <c r="F294" s="47" t="n"/>
      <c r="G294" s="47" t="n"/>
      <c r="J294" s="48" t="n"/>
      <c r="K294" s="48" t="n"/>
      <c r="N294" s="47" t="n"/>
      <c r="O294" s="47" t="n"/>
      <c r="Q294" s="49">
        <f>IF(A294="","",IFERROR(INDEX('Famílias'!$E:$E,MATCH(A294,'Famílias'!$A:$A,0)),"família não cadastrada"))</f>
        <v/>
      </c>
      <c r="R294" s="50" t="n"/>
      <c r="S294" s="50" t="n"/>
      <c r="T294" s="50" t="n"/>
      <c r="U294" s="50" t="n"/>
    </row>
    <row r="295">
      <c r="B295" s="45" t="n"/>
      <c r="C295" s="46" t="n"/>
      <c r="E295" s="47" t="n"/>
      <c r="F295" s="47" t="n"/>
      <c r="G295" s="47" t="n"/>
      <c r="J295" s="48" t="n"/>
      <c r="K295" s="48" t="n"/>
      <c r="N295" s="47" t="n"/>
      <c r="O295" s="47" t="n"/>
      <c r="Q295" s="49">
        <f>IF(A295="","",IFERROR(INDEX('Famílias'!$E:$E,MATCH(A295,'Famílias'!$A:$A,0)),"família não cadastrada"))</f>
        <v/>
      </c>
      <c r="R295" s="50" t="n"/>
      <c r="S295" s="50" t="n"/>
      <c r="T295" s="50" t="n"/>
      <c r="U295" s="50" t="n"/>
    </row>
    <row r="296">
      <c r="B296" s="45" t="n"/>
      <c r="C296" s="46" t="n"/>
      <c r="E296" s="47" t="n"/>
      <c r="F296" s="47" t="n"/>
      <c r="G296" s="47" t="n"/>
      <c r="J296" s="48" t="n"/>
      <c r="K296" s="48" t="n"/>
      <c r="N296" s="47" t="n"/>
      <c r="O296" s="47" t="n"/>
      <c r="Q296" s="49">
        <f>IF(A296="","",IFERROR(INDEX('Famílias'!$E:$E,MATCH(A296,'Famílias'!$A:$A,0)),"família não cadastrada"))</f>
        <v/>
      </c>
      <c r="R296" s="50" t="n"/>
      <c r="S296" s="50" t="n"/>
      <c r="T296" s="50" t="n"/>
      <c r="U296" s="50" t="n"/>
    </row>
    <row r="297">
      <c r="B297" s="45" t="n"/>
      <c r="C297" s="46" t="n"/>
      <c r="E297" s="47" t="n"/>
      <c r="F297" s="47" t="n"/>
      <c r="G297" s="47" t="n"/>
      <c r="J297" s="48" t="n"/>
      <c r="K297" s="48" t="n"/>
      <c r="N297" s="47" t="n"/>
      <c r="O297" s="47" t="n"/>
      <c r="Q297" s="49">
        <f>IF(A297="","",IFERROR(INDEX('Famílias'!$E:$E,MATCH(A297,'Famílias'!$A:$A,0)),"família não cadastrada"))</f>
        <v/>
      </c>
      <c r="R297" s="50" t="n"/>
      <c r="S297" s="50" t="n"/>
      <c r="T297" s="50" t="n"/>
      <c r="U297" s="50" t="n"/>
    </row>
    <row r="298">
      <c r="B298" s="45" t="n"/>
      <c r="C298" s="46" t="n"/>
      <c r="E298" s="47" t="n"/>
      <c r="F298" s="47" t="n"/>
      <c r="G298" s="47" t="n"/>
      <c r="J298" s="48" t="n"/>
      <c r="K298" s="48" t="n"/>
      <c r="N298" s="47" t="n"/>
      <c r="O298" s="47" t="n"/>
      <c r="Q298" s="49">
        <f>IF(A298="","",IFERROR(INDEX('Famílias'!$E:$E,MATCH(A298,'Famílias'!$A:$A,0)),"família não cadastrada"))</f>
        <v/>
      </c>
      <c r="R298" s="50" t="n"/>
      <c r="S298" s="50" t="n"/>
      <c r="T298" s="50" t="n"/>
      <c r="U298" s="50" t="n"/>
    </row>
    <row r="299">
      <c r="B299" s="45" t="n"/>
      <c r="C299" s="46" t="n"/>
      <c r="E299" s="47" t="n"/>
      <c r="F299" s="47" t="n"/>
      <c r="G299" s="47" t="n"/>
      <c r="J299" s="48" t="n"/>
      <c r="K299" s="48" t="n"/>
      <c r="N299" s="47" t="n"/>
      <c r="O299" s="47" t="n"/>
      <c r="Q299" s="49">
        <f>IF(A299="","",IFERROR(INDEX('Famílias'!$E:$E,MATCH(A299,'Famílias'!$A:$A,0)),"família não cadastrada"))</f>
        <v/>
      </c>
      <c r="R299" s="50" t="n"/>
      <c r="S299" s="50" t="n"/>
      <c r="T299" s="50" t="n"/>
      <c r="U299" s="50" t="n"/>
    </row>
    <row r="300">
      <c r="B300" s="45" t="n"/>
      <c r="C300" s="46" t="n"/>
      <c r="E300" s="47" t="n"/>
      <c r="F300" s="47" t="n"/>
      <c r="G300" s="47" t="n"/>
      <c r="J300" s="48" t="n"/>
      <c r="K300" s="48" t="n"/>
      <c r="N300" s="47" t="n"/>
      <c r="O300" s="47" t="n"/>
      <c r="Q300" s="49">
        <f>IF(A300="","",IFERROR(INDEX('Famílias'!$E:$E,MATCH(A300,'Famílias'!$A:$A,0)),"família não cadastrada"))</f>
        <v/>
      </c>
      <c r="R300" s="50" t="n"/>
      <c r="S300" s="50" t="n"/>
      <c r="T300" s="50" t="n"/>
      <c r="U300" s="50" t="n"/>
    </row>
    <row r="301">
      <c r="B301" s="45" t="n"/>
      <c r="C301" s="46" t="n"/>
      <c r="E301" s="47" t="n"/>
      <c r="F301" s="47" t="n"/>
      <c r="G301" s="47" t="n"/>
      <c r="J301" s="48" t="n"/>
      <c r="K301" s="48" t="n"/>
      <c r="N301" s="47" t="n"/>
      <c r="O301" s="47" t="n"/>
      <c r="Q301" s="49">
        <f>IF(A301="","",IFERROR(INDEX('Famílias'!$E:$E,MATCH(A301,'Famílias'!$A:$A,0)),"família não cadastrada"))</f>
        <v/>
      </c>
      <c r="R301" s="50" t="n"/>
      <c r="S301" s="50" t="n"/>
      <c r="T301" s="50" t="n"/>
      <c r="U301" s="50" t="n"/>
    </row>
    <row r="302">
      <c r="B302" s="45" t="n"/>
      <c r="C302" s="46" t="n"/>
      <c r="E302" s="47" t="n"/>
      <c r="F302" s="47" t="n"/>
      <c r="G302" s="47" t="n"/>
      <c r="J302" s="48" t="n"/>
      <c r="K302" s="48" t="n"/>
      <c r="N302" s="47" t="n"/>
      <c r="O302" s="47" t="n"/>
      <c r="Q302" s="49">
        <f>IF(A302="","",IFERROR(INDEX('Famílias'!$E:$E,MATCH(A302,'Famílias'!$A:$A,0)),"família não cadastrada"))</f>
        <v/>
      </c>
      <c r="R302" s="50" t="n"/>
      <c r="S302" s="50" t="n"/>
      <c r="T302" s="50" t="n"/>
      <c r="U302" s="50" t="n"/>
    </row>
    <row r="303">
      <c r="B303" s="45" t="n"/>
      <c r="C303" s="46" t="n"/>
      <c r="E303" s="47" t="n"/>
      <c r="F303" s="47" t="n"/>
      <c r="G303" s="47" t="n"/>
      <c r="J303" s="48" t="n"/>
      <c r="K303" s="48" t="n"/>
      <c r="N303" s="47" t="n"/>
      <c r="O303" s="47" t="n"/>
      <c r="Q303" s="49">
        <f>IF(A303="","",IFERROR(INDEX('Famílias'!$E:$E,MATCH(A303,'Famílias'!$A:$A,0)),"família não cadastrada"))</f>
        <v/>
      </c>
      <c r="R303" s="50" t="n"/>
      <c r="S303" s="50" t="n"/>
      <c r="T303" s="50" t="n"/>
      <c r="U303" s="50" t="n"/>
    </row>
    <row r="304">
      <c r="B304" s="45" t="n"/>
      <c r="C304" s="46" t="n"/>
      <c r="E304" s="47" t="n"/>
      <c r="F304" s="47" t="n"/>
      <c r="G304" s="47" t="n"/>
      <c r="J304" s="48" t="n"/>
      <c r="K304" s="48" t="n"/>
      <c r="N304" s="47" t="n"/>
      <c r="O304" s="47" t="n"/>
      <c r="Q304" s="49">
        <f>IF(A304="","",IFERROR(INDEX('Famílias'!$E:$E,MATCH(A304,'Famílias'!$A:$A,0)),"família não cadastrada"))</f>
        <v/>
      </c>
      <c r="R304" s="50" t="n"/>
      <c r="S304" s="50" t="n"/>
      <c r="T304" s="50" t="n"/>
      <c r="U304" s="50" t="n"/>
    </row>
    <row r="305">
      <c r="B305" s="45" t="n"/>
      <c r="C305" s="46" t="n"/>
      <c r="E305" s="47" t="n"/>
      <c r="F305" s="47" t="n"/>
      <c r="G305" s="47" t="n"/>
      <c r="J305" s="48" t="n"/>
      <c r="K305" s="48" t="n"/>
      <c r="N305" s="47" t="n"/>
      <c r="O305" s="47" t="n"/>
      <c r="Q305" s="49">
        <f>IF(A305="","",IFERROR(INDEX('Famílias'!$E:$E,MATCH(A305,'Famílias'!$A:$A,0)),"família não cadastrada"))</f>
        <v/>
      </c>
      <c r="R305" s="50" t="n"/>
      <c r="S305" s="50" t="n"/>
      <c r="T305" s="50" t="n"/>
      <c r="U305" s="50" t="n"/>
    </row>
    <row r="306">
      <c r="B306" s="45" t="n"/>
      <c r="C306" s="46" t="n"/>
      <c r="E306" s="47" t="n"/>
      <c r="F306" s="47" t="n"/>
      <c r="G306" s="47" t="n"/>
      <c r="J306" s="48" t="n"/>
      <c r="K306" s="48" t="n"/>
      <c r="N306" s="47" t="n"/>
      <c r="O306" s="47" t="n"/>
      <c r="Q306" s="49">
        <f>IF(A306="","",IFERROR(INDEX('Famílias'!$E:$E,MATCH(A306,'Famílias'!$A:$A,0)),"família não cadastrada"))</f>
        <v/>
      </c>
      <c r="R306" s="50" t="n"/>
      <c r="S306" s="50" t="n"/>
      <c r="T306" s="50" t="n"/>
      <c r="U306" s="50" t="n"/>
    </row>
    <row r="307">
      <c r="B307" s="45" t="n"/>
      <c r="C307" s="46" t="n"/>
      <c r="E307" s="47" t="n"/>
      <c r="F307" s="47" t="n"/>
      <c r="G307" s="47" t="n"/>
      <c r="J307" s="48" t="n"/>
      <c r="K307" s="48" t="n"/>
      <c r="N307" s="47" t="n"/>
      <c r="O307" s="47" t="n"/>
      <c r="Q307" s="49">
        <f>IF(A307="","",IFERROR(INDEX('Famílias'!$E:$E,MATCH(A307,'Famílias'!$A:$A,0)),"família não cadastrada"))</f>
        <v/>
      </c>
      <c r="R307" s="50" t="n"/>
      <c r="S307" s="50" t="n"/>
      <c r="T307" s="50" t="n"/>
      <c r="U307" s="50" t="n"/>
    </row>
    <row r="308">
      <c r="B308" s="45" t="n"/>
      <c r="C308" s="46" t="n"/>
      <c r="E308" s="47" t="n"/>
      <c r="F308" s="47" t="n"/>
      <c r="G308" s="47" t="n"/>
      <c r="J308" s="48" t="n"/>
      <c r="K308" s="48" t="n"/>
      <c r="N308" s="47" t="n"/>
      <c r="O308" s="47" t="n"/>
      <c r="Q308" s="49">
        <f>IF(A308="","",IFERROR(INDEX('Famílias'!$E:$E,MATCH(A308,'Famílias'!$A:$A,0)),"família não cadastrada"))</f>
        <v/>
      </c>
      <c r="R308" s="50" t="n"/>
      <c r="S308" s="50" t="n"/>
      <c r="T308" s="50" t="n"/>
      <c r="U308" s="50" t="n"/>
    </row>
    <row r="309">
      <c r="B309" s="45" t="n"/>
      <c r="C309" s="46" t="n"/>
      <c r="E309" s="47" t="n"/>
      <c r="F309" s="47" t="n"/>
      <c r="G309" s="47" t="n"/>
      <c r="J309" s="48" t="n"/>
      <c r="K309" s="48" t="n"/>
      <c r="N309" s="47" t="n"/>
      <c r="O309" s="47" t="n"/>
      <c r="Q309" s="49">
        <f>IF(A309="","",IFERROR(INDEX('Famílias'!$E:$E,MATCH(A309,'Famílias'!$A:$A,0)),"família não cadastrada"))</f>
        <v/>
      </c>
      <c r="R309" s="50" t="n"/>
      <c r="S309" s="50" t="n"/>
      <c r="T309" s="50" t="n"/>
      <c r="U309" s="50" t="n"/>
    </row>
    <row r="310">
      <c r="B310" s="45" t="n"/>
      <c r="C310" s="46" t="n"/>
      <c r="E310" s="47" t="n"/>
      <c r="F310" s="47" t="n"/>
      <c r="G310" s="47" t="n"/>
      <c r="J310" s="48" t="n"/>
      <c r="K310" s="48" t="n"/>
      <c r="N310" s="47" t="n"/>
      <c r="O310" s="47" t="n"/>
      <c r="Q310" s="49">
        <f>IF(A310="","",IFERROR(INDEX('Famílias'!$E:$E,MATCH(A310,'Famílias'!$A:$A,0)),"família não cadastrada"))</f>
        <v/>
      </c>
      <c r="R310" s="50" t="n"/>
      <c r="S310" s="50" t="n"/>
      <c r="T310" s="50" t="n"/>
      <c r="U310" s="50" t="n"/>
    </row>
    <row r="311">
      <c r="B311" s="45" t="n"/>
      <c r="C311" s="46" t="n"/>
      <c r="E311" s="47" t="n"/>
      <c r="F311" s="47" t="n"/>
      <c r="G311" s="47" t="n"/>
      <c r="J311" s="48" t="n"/>
      <c r="K311" s="48" t="n"/>
      <c r="N311" s="47" t="n"/>
      <c r="O311" s="47" t="n"/>
      <c r="Q311" s="49">
        <f>IF(A311="","",IFERROR(INDEX('Famílias'!$E:$E,MATCH(A311,'Famílias'!$A:$A,0)),"família não cadastrada"))</f>
        <v/>
      </c>
      <c r="R311" s="50" t="n"/>
      <c r="S311" s="50" t="n"/>
      <c r="T311" s="50" t="n"/>
      <c r="U311" s="50" t="n"/>
    </row>
    <row r="312">
      <c r="B312" s="45" t="n"/>
      <c r="C312" s="46" t="n"/>
      <c r="E312" s="47" t="n"/>
      <c r="F312" s="47" t="n"/>
      <c r="G312" s="47" t="n"/>
      <c r="J312" s="48" t="n"/>
      <c r="K312" s="48" t="n"/>
      <c r="N312" s="47" t="n"/>
      <c r="O312" s="47" t="n"/>
      <c r="Q312" s="49">
        <f>IF(A312="","",IFERROR(INDEX('Famílias'!$E:$E,MATCH(A312,'Famílias'!$A:$A,0)),"família não cadastrada"))</f>
        <v/>
      </c>
      <c r="R312" s="50" t="n"/>
      <c r="S312" s="50" t="n"/>
      <c r="T312" s="50" t="n"/>
      <c r="U312" s="50" t="n"/>
    </row>
    <row r="313">
      <c r="B313" s="45" t="n"/>
      <c r="C313" s="46" t="n"/>
      <c r="E313" s="47" t="n"/>
      <c r="F313" s="47" t="n"/>
      <c r="G313" s="47" t="n"/>
      <c r="J313" s="48" t="n"/>
      <c r="K313" s="48" t="n"/>
      <c r="N313" s="47" t="n"/>
      <c r="O313" s="47" t="n"/>
      <c r="Q313" s="49">
        <f>IF(A313="","",IFERROR(INDEX('Famílias'!$E:$E,MATCH(A313,'Famílias'!$A:$A,0)),"família não cadastrada"))</f>
        <v/>
      </c>
      <c r="R313" s="50" t="n"/>
      <c r="S313" s="50" t="n"/>
      <c r="T313" s="50" t="n"/>
      <c r="U313" s="50" t="n"/>
    </row>
    <row r="314">
      <c r="B314" s="45" t="n"/>
      <c r="C314" s="46" t="n"/>
      <c r="E314" s="47" t="n"/>
      <c r="F314" s="47" t="n"/>
      <c r="G314" s="47" t="n"/>
      <c r="J314" s="48" t="n"/>
      <c r="K314" s="48" t="n"/>
      <c r="N314" s="47" t="n"/>
      <c r="O314" s="47" t="n"/>
      <c r="Q314" s="49">
        <f>IF(A314="","",IFERROR(INDEX('Famílias'!$E:$E,MATCH(A314,'Famílias'!$A:$A,0)),"família não cadastrada"))</f>
        <v/>
      </c>
      <c r="R314" s="50" t="n"/>
      <c r="S314" s="50" t="n"/>
      <c r="T314" s="50" t="n"/>
      <c r="U314" s="50" t="n"/>
    </row>
    <row r="315">
      <c r="B315" s="45" t="n"/>
      <c r="C315" s="46" t="n"/>
      <c r="E315" s="47" t="n"/>
      <c r="F315" s="47" t="n"/>
      <c r="G315" s="47" t="n"/>
      <c r="J315" s="48" t="n"/>
      <c r="K315" s="48" t="n"/>
      <c r="N315" s="47" t="n"/>
      <c r="O315" s="47" t="n"/>
      <c r="Q315" s="49">
        <f>IF(A315="","",IFERROR(INDEX('Famílias'!$E:$E,MATCH(A315,'Famílias'!$A:$A,0)),"família não cadastrada"))</f>
        <v/>
      </c>
      <c r="R315" s="50" t="n"/>
      <c r="S315" s="50" t="n"/>
      <c r="T315" s="50" t="n"/>
      <c r="U315" s="50" t="n"/>
    </row>
    <row r="316">
      <c r="B316" s="45" t="n"/>
      <c r="C316" s="46" t="n"/>
      <c r="E316" s="47" t="n"/>
      <c r="F316" s="47" t="n"/>
      <c r="G316" s="47" t="n"/>
      <c r="J316" s="48" t="n"/>
      <c r="K316" s="48" t="n"/>
      <c r="N316" s="47" t="n"/>
      <c r="O316" s="47" t="n"/>
      <c r="Q316" s="49">
        <f>IF(A316="","",IFERROR(INDEX('Famílias'!$E:$E,MATCH(A316,'Famílias'!$A:$A,0)),"família não cadastrada"))</f>
        <v/>
      </c>
      <c r="R316" s="50" t="n"/>
      <c r="S316" s="50" t="n"/>
      <c r="T316" s="50" t="n"/>
      <c r="U316" s="50" t="n"/>
    </row>
    <row r="317">
      <c r="B317" s="45" t="n"/>
      <c r="C317" s="46" t="n"/>
      <c r="E317" s="47" t="n"/>
      <c r="F317" s="47" t="n"/>
      <c r="G317" s="47" t="n"/>
      <c r="J317" s="48" t="n"/>
      <c r="K317" s="48" t="n"/>
      <c r="N317" s="47" t="n"/>
      <c r="O317" s="47" t="n"/>
      <c r="Q317" s="49">
        <f>IF(A317="","",IFERROR(INDEX('Famílias'!$E:$E,MATCH(A317,'Famílias'!$A:$A,0)),"família não cadastrada"))</f>
        <v/>
      </c>
      <c r="R317" s="50" t="n"/>
      <c r="S317" s="50" t="n"/>
      <c r="T317" s="50" t="n"/>
      <c r="U317" s="50" t="n"/>
    </row>
    <row r="318">
      <c r="B318" s="45" t="n"/>
      <c r="C318" s="46" t="n"/>
      <c r="E318" s="47" t="n"/>
      <c r="F318" s="47" t="n"/>
      <c r="G318" s="47" t="n"/>
      <c r="J318" s="48" t="n"/>
      <c r="K318" s="48" t="n"/>
      <c r="N318" s="47" t="n"/>
      <c r="O318" s="47" t="n"/>
      <c r="Q318" s="49">
        <f>IF(A318="","",IFERROR(INDEX('Famílias'!$E:$E,MATCH(A318,'Famílias'!$A:$A,0)),"família não cadastrada"))</f>
        <v/>
      </c>
      <c r="R318" s="50" t="n"/>
      <c r="S318" s="50" t="n"/>
      <c r="T318" s="50" t="n"/>
      <c r="U318" s="50" t="n"/>
    </row>
    <row r="319">
      <c r="B319" s="45" t="n"/>
      <c r="C319" s="46" t="n"/>
      <c r="E319" s="47" t="n"/>
      <c r="F319" s="47" t="n"/>
      <c r="G319" s="47" t="n"/>
      <c r="J319" s="48" t="n"/>
      <c r="K319" s="48" t="n"/>
      <c r="N319" s="47" t="n"/>
      <c r="O319" s="47" t="n"/>
      <c r="Q319" s="49">
        <f>IF(A319="","",IFERROR(INDEX('Famílias'!$E:$E,MATCH(A319,'Famílias'!$A:$A,0)),"família não cadastrada"))</f>
        <v/>
      </c>
      <c r="R319" s="50" t="n"/>
      <c r="S319" s="50" t="n"/>
      <c r="T319" s="50" t="n"/>
      <c r="U319" s="50" t="n"/>
    </row>
    <row r="320">
      <c r="B320" s="45" t="n"/>
      <c r="C320" s="46" t="n"/>
      <c r="E320" s="47" t="n"/>
      <c r="F320" s="47" t="n"/>
      <c r="G320" s="47" t="n"/>
      <c r="J320" s="48" t="n"/>
      <c r="K320" s="48" t="n"/>
      <c r="N320" s="47" t="n"/>
      <c r="O320" s="47" t="n"/>
      <c r="Q320" s="49">
        <f>IF(A320="","",IFERROR(INDEX('Famílias'!$E:$E,MATCH(A320,'Famílias'!$A:$A,0)),"família não cadastrada"))</f>
        <v/>
      </c>
      <c r="R320" s="50" t="n"/>
      <c r="S320" s="50" t="n"/>
      <c r="T320" s="50" t="n"/>
      <c r="U320" s="50" t="n"/>
    </row>
    <row r="321">
      <c r="B321" s="45" t="n"/>
      <c r="C321" s="46" t="n"/>
      <c r="E321" s="47" t="n"/>
      <c r="F321" s="47" t="n"/>
      <c r="G321" s="47" t="n"/>
      <c r="J321" s="48" t="n"/>
      <c r="K321" s="48" t="n"/>
      <c r="N321" s="47" t="n"/>
      <c r="O321" s="47" t="n"/>
      <c r="Q321" s="49">
        <f>IF(A321="","",IFERROR(INDEX('Famílias'!$E:$E,MATCH(A321,'Famílias'!$A:$A,0)),"família não cadastrada"))</f>
        <v/>
      </c>
      <c r="R321" s="50" t="n"/>
      <c r="S321" s="50" t="n"/>
      <c r="T321" s="50" t="n"/>
      <c r="U321" s="50" t="n"/>
    </row>
    <row r="322">
      <c r="B322" s="45" t="n"/>
      <c r="C322" s="46" t="n"/>
      <c r="E322" s="47" t="n"/>
      <c r="F322" s="47" t="n"/>
      <c r="G322" s="47" t="n"/>
      <c r="J322" s="48" t="n"/>
      <c r="K322" s="48" t="n"/>
      <c r="N322" s="47" t="n"/>
      <c r="O322" s="47" t="n"/>
      <c r="Q322" s="49">
        <f>IF(A322="","",IFERROR(INDEX('Famílias'!$E:$E,MATCH(A322,'Famílias'!$A:$A,0)),"família não cadastrada"))</f>
        <v/>
      </c>
      <c r="R322" s="50" t="n"/>
      <c r="S322" s="50" t="n"/>
      <c r="T322" s="50" t="n"/>
      <c r="U322" s="50" t="n"/>
    </row>
    <row r="323">
      <c r="B323" s="45" t="n"/>
      <c r="C323" s="46" t="n"/>
      <c r="E323" s="47" t="n"/>
      <c r="F323" s="47" t="n"/>
      <c r="G323" s="47" t="n"/>
      <c r="J323" s="48" t="n"/>
      <c r="K323" s="48" t="n"/>
      <c r="N323" s="47" t="n"/>
      <c r="O323" s="47" t="n"/>
      <c r="Q323" s="49">
        <f>IF(A323="","",IFERROR(INDEX('Famílias'!$E:$E,MATCH(A323,'Famílias'!$A:$A,0)),"família não cadastrada"))</f>
        <v/>
      </c>
      <c r="R323" s="50" t="n"/>
      <c r="S323" s="50" t="n"/>
      <c r="T323" s="50" t="n"/>
      <c r="U323" s="50" t="n"/>
    </row>
    <row r="324">
      <c r="B324" s="45" t="n"/>
      <c r="C324" s="46" t="n"/>
      <c r="E324" s="47" t="n"/>
      <c r="F324" s="47" t="n"/>
      <c r="G324" s="47" t="n"/>
      <c r="J324" s="48" t="n"/>
      <c r="K324" s="48" t="n"/>
      <c r="N324" s="47" t="n"/>
      <c r="O324" s="47" t="n"/>
      <c r="Q324" s="49">
        <f>IF(A324="","",IFERROR(INDEX('Famílias'!$E:$E,MATCH(A324,'Famílias'!$A:$A,0)),"família não cadastrada"))</f>
        <v/>
      </c>
      <c r="R324" s="50" t="n"/>
      <c r="S324" s="50" t="n"/>
      <c r="T324" s="50" t="n"/>
      <c r="U324" s="50" t="n"/>
    </row>
    <row r="325">
      <c r="B325" s="45" t="n"/>
      <c r="C325" s="46" t="n"/>
      <c r="E325" s="47" t="n"/>
      <c r="F325" s="47" t="n"/>
      <c r="G325" s="47" t="n"/>
      <c r="J325" s="48" t="n"/>
      <c r="K325" s="48" t="n"/>
      <c r="N325" s="47" t="n"/>
      <c r="O325" s="47" t="n"/>
      <c r="Q325" s="49">
        <f>IF(A325="","",IFERROR(INDEX('Famílias'!$E:$E,MATCH(A325,'Famílias'!$A:$A,0)),"família não cadastrada"))</f>
        <v/>
      </c>
      <c r="R325" s="50" t="n"/>
      <c r="S325" s="50" t="n"/>
      <c r="T325" s="50" t="n"/>
      <c r="U325" s="50" t="n"/>
    </row>
    <row r="326">
      <c r="B326" s="45" t="n"/>
      <c r="C326" s="46" t="n"/>
      <c r="E326" s="47" t="n"/>
      <c r="F326" s="47" t="n"/>
      <c r="G326" s="47" t="n"/>
      <c r="J326" s="48" t="n"/>
      <c r="K326" s="48" t="n"/>
      <c r="N326" s="47" t="n"/>
      <c r="O326" s="47" t="n"/>
      <c r="Q326" s="49">
        <f>IF(A326="","",IFERROR(INDEX('Famílias'!$E:$E,MATCH(A326,'Famílias'!$A:$A,0)),"família não cadastrada"))</f>
        <v/>
      </c>
      <c r="R326" s="50" t="n"/>
      <c r="S326" s="50" t="n"/>
      <c r="T326" s="50" t="n"/>
      <c r="U326" s="50" t="n"/>
    </row>
    <row r="327">
      <c r="B327" s="45" t="n"/>
      <c r="C327" s="46" t="n"/>
      <c r="E327" s="47" t="n"/>
      <c r="F327" s="47" t="n"/>
      <c r="G327" s="47" t="n"/>
      <c r="J327" s="48" t="n"/>
      <c r="K327" s="48" t="n"/>
      <c r="N327" s="47" t="n"/>
      <c r="O327" s="47" t="n"/>
      <c r="Q327" s="49">
        <f>IF(A327="","",IFERROR(INDEX('Famílias'!$E:$E,MATCH(A327,'Famílias'!$A:$A,0)),"família não cadastrada"))</f>
        <v/>
      </c>
      <c r="R327" s="50" t="n"/>
      <c r="S327" s="50" t="n"/>
      <c r="T327" s="50" t="n"/>
      <c r="U327" s="50" t="n"/>
    </row>
    <row r="328">
      <c r="B328" s="45" t="n"/>
      <c r="C328" s="46" t="n"/>
      <c r="E328" s="47" t="n"/>
      <c r="F328" s="47" t="n"/>
      <c r="G328" s="47" t="n"/>
      <c r="J328" s="48" t="n"/>
      <c r="K328" s="48" t="n"/>
      <c r="N328" s="47" t="n"/>
      <c r="O328" s="47" t="n"/>
      <c r="Q328" s="49">
        <f>IF(A328="","",IFERROR(INDEX('Famílias'!$E:$E,MATCH(A328,'Famílias'!$A:$A,0)),"família não cadastrada"))</f>
        <v/>
      </c>
      <c r="R328" s="50" t="n"/>
      <c r="S328" s="50" t="n"/>
      <c r="T328" s="50" t="n"/>
      <c r="U328" s="50" t="n"/>
    </row>
    <row r="329">
      <c r="B329" s="45" t="n"/>
      <c r="C329" s="46" t="n"/>
      <c r="E329" s="47" t="n"/>
      <c r="F329" s="47" t="n"/>
      <c r="G329" s="47" t="n"/>
      <c r="J329" s="48" t="n"/>
      <c r="K329" s="48" t="n"/>
      <c r="N329" s="47" t="n"/>
      <c r="O329" s="47" t="n"/>
      <c r="Q329" s="49">
        <f>IF(A329="","",IFERROR(INDEX('Famílias'!$E:$E,MATCH(A329,'Famílias'!$A:$A,0)),"família não cadastrada"))</f>
        <v/>
      </c>
      <c r="R329" s="50" t="n"/>
      <c r="S329" s="50" t="n"/>
      <c r="T329" s="50" t="n"/>
      <c r="U329" s="50" t="n"/>
    </row>
    <row r="330">
      <c r="B330" s="45" t="n"/>
      <c r="C330" s="46" t="n"/>
      <c r="E330" s="47" t="n"/>
      <c r="F330" s="47" t="n"/>
      <c r="G330" s="47" t="n"/>
      <c r="J330" s="48" t="n"/>
      <c r="K330" s="48" t="n"/>
      <c r="N330" s="47" t="n"/>
      <c r="O330" s="47" t="n"/>
      <c r="Q330" s="49">
        <f>IF(A330="","",IFERROR(INDEX('Famílias'!$E:$E,MATCH(A330,'Famílias'!$A:$A,0)),"família não cadastrada"))</f>
        <v/>
      </c>
      <c r="R330" s="50" t="n"/>
      <c r="S330" s="50" t="n"/>
      <c r="T330" s="50" t="n"/>
      <c r="U330" s="50" t="n"/>
    </row>
    <row r="331">
      <c r="B331" s="45" t="n"/>
      <c r="C331" s="46" t="n"/>
      <c r="E331" s="47" t="n"/>
      <c r="F331" s="47" t="n"/>
      <c r="G331" s="47" t="n"/>
      <c r="J331" s="48" t="n"/>
      <c r="K331" s="48" t="n"/>
      <c r="N331" s="47" t="n"/>
      <c r="O331" s="47" t="n"/>
      <c r="Q331" s="49">
        <f>IF(A331="","",IFERROR(INDEX('Famílias'!$E:$E,MATCH(A331,'Famílias'!$A:$A,0)),"família não cadastrada"))</f>
        <v/>
      </c>
      <c r="R331" s="50" t="n"/>
      <c r="S331" s="50" t="n"/>
      <c r="T331" s="50" t="n"/>
      <c r="U331" s="50" t="n"/>
    </row>
    <row r="332">
      <c r="B332" s="45" t="n"/>
      <c r="C332" s="46" t="n"/>
      <c r="E332" s="47" t="n"/>
      <c r="F332" s="47" t="n"/>
      <c r="G332" s="47" t="n"/>
      <c r="J332" s="48" t="n"/>
      <c r="K332" s="48" t="n"/>
      <c r="N332" s="47" t="n"/>
      <c r="O332" s="47" t="n"/>
      <c r="Q332" s="49">
        <f>IF(A332="","",IFERROR(INDEX('Famílias'!$E:$E,MATCH(A332,'Famílias'!$A:$A,0)),"família não cadastrada"))</f>
        <v/>
      </c>
      <c r="R332" s="50" t="n"/>
      <c r="S332" s="50" t="n"/>
      <c r="T332" s="50" t="n"/>
      <c r="U332" s="50" t="n"/>
    </row>
    <row r="333">
      <c r="B333" s="45" t="n"/>
      <c r="C333" s="46" t="n"/>
      <c r="E333" s="47" t="n"/>
      <c r="F333" s="47" t="n"/>
      <c r="G333" s="47" t="n"/>
      <c r="J333" s="48" t="n"/>
      <c r="K333" s="48" t="n"/>
      <c r="N333" s="47" t="n"/>
      <c r="O333" s="47" t="n"/>
      <c r="Q333" s="49">
        <f>IF(A333="","",IFERROR(INDEX('Famílias'!$E:$E,MATCH(A333,'Famílias'!$A:$A,0)),"família não cadastrada"))</f>
        <v/>
      </c>
      <c r="R333" s="50" t="n"/>
      <c r="S333" s="50" t="n"/>
      <c r="T333" s="50" t="n"/>
      <c r="U333" s="50" t="n"/>
    </row>
    <row r="334">
      <c r="B334" s="45" t="n"/>
      <c r="C334" s="46" t="n"/>
      <c r="E334" s="47" t="n"/>
      <c r="F334" s="47" t="n"/>
      <c r="G334" s="47" t="n"/>
      <c r="J334" s="48" t="n"/>
      <c r="K334" s="48" t="n"/>
      <c r="N334" s="47" t="n"/>
      <c r="O334" s="47" t="n"/>
      <c r="Q334" s="49">
        <f>IF(A334="","",IFERROR(INDEX('Famílias'!$E:$E,MATCH(A334,'Famílias'!$A:$A,0)),"família não cadastrada"))</f>
        <v/>
      </c>
      <c r="R334" s="50" t="n"/>
      <c r="S334" s="50" t="n"/>
      <c r="T334" s="50" t="n"/>
      <c r="U334" s="50" t="n"/>
    </row>
    <row r="335">
      <c r="B335" s="45" t="n"/>
      <c r="C335" s="46" t="n"/>
      <c r="E335" s="47" t="n"/>
      <c r="F335" s="47" t="n"/>
      <c r="G335" s="47" t="n"/>
      <c r="J335" s="48" t="n"/>
      <c r="K335" s="48" t="n"/>
      <c r="N335" s="47" t="n"/>
      <c r="O335" s="47" t="n"/>
      <c r="Q335" s="49">
        <f>IF(A335="","",IFERROR(INDEX('Famílias'!$E:$E,MATCH(A335,'Famílias'!$A:$A,0)),"família não cadastrada"))</f>
        <v/>
      </c>
      <c r="R335" s="50" t="n"/>
      <c r="S335" s="50" t="n"/>
      <c r="T335" s="50" t="n"/>
      <c r="U335" s="50" t="n"/>
    </row>
    <row r="336">
      <c r="B336" s="45" t="n"/>
      <c r="C336" s="46" t="n"/>
      <c r="E336" s="47" t="n"/>
      <c r="F336" s="47" t="n"/>
      <c r="G336" s="47" t="n"/>
      <c r="J336" s="48" t="n"/>
      <c r="K336" s="48" t="n"/>
      <c r="N336" s="47" t="n"/>
      <c r="O336" s="47" t="n"/>
      <c r="Q336" s="49">
        <f>IF(A336="","",IFERROR(INDEX('Famílias'!$E:$E,MATCH(A336,'Famílias'!$A:$A,0)),"família não cadastrada"))</f>
        <v/>
      </c>
      <c r="R336" s="50" t="n"/>
      <c r="S336" s="50" t="n"/>
      <c r="T336" s="50" t="n"/>
      <c r="U336" s="50" t="n"/>
    </row>
    <row r="337">
      <c r="B337" s="45" t="n"/>
      <c r="C337" s="46" t="n"/>
      <c r="E337" s="47" t="n"/>
      <c r="F337" s="47" t="n"/>
      <c r="G337" s="47" t="n"/>
      <c r="J337" s="48" t="n"/>
      <c r="K337" s="48" t="n"/>
      <c r="N337" s="47" t="n"/>
      <c r="O337" s="47" t="n"/>
      <c r="Q337" s="49">
        <f>IF(A337="","",IFERROR(INDEX('Famílias'!$E:$E,MATCH(A337,'Famílias'!$A:$A,0)),"família não cadastrada"))</f>
        <v/>
      </c>
      <c r="R337" s="50" t="n"/>
      <c r="S337" s="50" t="n"/>
      <c r="T337" s="50" t="n"/>
      <c r="U337" s="50" t="n"/>
    </row>
    <row r="338">
      <c r="B338" s="45" t="n"/>
      <c r="C338" s="46" t="n"/>
      <c r="E338" s="47" t="n"/>
      <c r="F338" s="47" t="n"/>
      <c r="G338" s="47" t="n"/>
      <c r="J338" s="48" t="n"/>
      <c r="K338" s="48" t="n"/>
      <c r="N338" s="47" t="n"/>
      <c r="O338" s="47" t="n"/>
      <c r="Q338" s="49">
        <f>IF(A338="","",IFERROR(INDEX('Famílias'!$E:$E,MATCH(A338,'Famílias'!$A:$A,0)),"família não cadastrada"))</f>
        <v/>
      </c>
      <c r="R338" s="50" t="n"/>
      <c r="S338" s="50" t="n"/>
      <c r="T338" s="50" t="n"/>
      <c r="U338" s="50" t="n"/>
    </row>
    <row r="339">
      <c r="B339" s="45" t="n"/>
      <c r="C339" s="46" t="n"/>
      <c r="E339" s="47" t="n"/>
      <c r="F339" s="47" t="n"/>
      <c r="G339" s="47" t="n"/>
      <c r="J339" s="48" t="n"/>
      <c r="K339" s="48" t="n"/>
      <c r="N339" s="47" t="n"/>
      <c r="O339" s="47" t="n"/>
      <c r="Q339" s="49">
        <f>IF(A339="","",IFERROR(INDEX('Famílias'!$E:$E,MATCH(A339,'Famílias'!$A:$A,0)),"família não cadastrada"))</f>
        <v/>
      </c>
      <c r="R339" s="50" t="n"/>
      <c r="S339" s="50" t="n"/>
      <c r="T339" s="50" t="n"/>
      <c r="U339" s="50" t="n"/>
    </row>
    <row r="340">
      <c r="B340" s="45" t="n"/>
      <c r="C340" s="46" t="n"/>
      <c r="E340" s="47" t="n"/>
      <c r="F340" s="47" t="n"/>
      <c r="G340" s="47" t="n"/>
      <c r="J340" s="48" t="n"/>
      <c r="K340" s="48" t="n"/>
      <c r="N340" s="47" t="n"/>
      <c r="O340" s="47" t="n"/>
      <c r="Q340" s="49">
        <f>IF(A340="","",IFERROR(INDEX('Famílias'!$E:$E,MATCH(A340,'Famílias'!$A:$A,0)),"família não cadastrada"))</f>
        <v/>
      </c>
      <c r="R340" s="50" t="n"/>
      <c r="S340" s="50" t="n"/>
      <c r="T340" s="50" t="n"/>
      <c r="U340" s="50" t="n"/>
    </row>
    <row r="341">
      <c r="B341" s="45" t="n"/>
      <c r="C341" s="46" t="n"/>
      <c r="E341" s="47" t="n"/>
      <c r="F341" s="47" t="n"/>
      <c r="G341" s="47" t="n"/>
      <c r="J341" s="48" t="n"/>
      <c r="K341" s="48" t="n"/>
      <c r="N341" s="47" t="n"/>
      <c r="O341" s="47" t="n"/>
      <c r="Q341" s="49">
        <f>IF(A341="","",IFERROR(INDEX('Famílias'!$E:$E,MATCH(A341,'Famílias'!$A:$A,0)),"família não cadastrada"))</f>
        <v/>
      </c>
      <c r="R341" s="50" t="n"/>
      <c r="S341" s="50" t="n"/>
      <c r="T341" s="50" t="n"/>
      <c r="U341" s="50" t="n"/>
    </row>
    <row r="342">
      <c r="B342" s="45" t="n"/>
      <c r="C342" s="46" t="n"/>
      <c r="E342" s="47" t="n"/>
      <c r="F342" s="47" t="n"/>
      <c r="G342" s="47" t="n"/>
      <c r="J342" s="48" t="n"/>
      <c r="K342" s="48" t="n"/>
      <c r="N342" s="47" t="n"/>
      <c r="O342" s="47" t="n"/>
      <c r="Q342" s="49">
        <f>IF(A342="","",IFERROR(INDEX('Famílias'!$E:$E,MATCH(A342,'Famílias'!$A:$A,0)),"família não cadastrada"))</f>
        <v/>
      </c>
      <c r="R342" s="50" t="n"/>
      <c r="S342" s="50" t="n"/>
      <c r="T342" s="50" t="n"/>
      <c r="U342" s="50" t="n"/>
    </row>
    <row r="343">
      <c r="B343" s="45" t="n"/>
      <c r="C343" s="46" t="n"/>
      <c r="E343" s="47" t="n"/>
      <c r="F343" s="47" t="n"/>
      <c r="G343" s="47" t="n"/>
      <c r="J343" s="48" t="n"/>
      <c r="K343" s="48" t="n"/>
      <c r="N343" s="47" t="n"/>
      <c r="O343" s="47" t="n"/>
      <c r="Q343" s="49">
        <f>IF(A343="","",IFERROR(INDEX('Famílias'!$E:$E,MATCH(A343,'Famílias'!$A:$A,0)),"família não cadastrada"))</f>
        <v/>
      </c>
      <c r="R343" s="50" t="n"/>
      <c r="S343" s="50" t="n"/>
      <c r="T343" s="50" t="n"/>
      <c r="U343" s="50" t="n"/>
    </row>
    <row r="344">
      <c r="B344" s="45" t="n"/>
      <c r="C344" s="46" t="n"/>
      <c r="E344" s="47" t="n"/>
      <c r="F344" s="47" t="n"/>
      <c r="G344" s="47" t="n"/>
      <c r="J344" s="48" t="n"/>
      <c r="K344" s="48" t="n"/>
      <c r="N344" s="47" t="n"/>
      <c r="O344" s="47" t="n"/>
      <c r="Q344" s="49">
        <f>IF(A344="","",IFERROR(INDEX('Famílias'!$E:$E,MATCH(A344,'Famílias'!$A:$A,0)),"família não cadastrada"))</f>
        <v/>
      </c>
      <c r="R344" s="50" t="n"/>
      <c r="S344" s="50" t="n"/>
      <c r="T344" s="50" t="n"/>
      <c r="U344" s="50" t="n"/>
    </row>
    <row r="345">
      <c r="B345" s="45" t="n"/>
      <c r="C345" s="46" t="n"/>
      <c r="E345" s="47" t="n"/>
      <c r="F345" s="47" t="n"/>
      <c r="G345" s="47" t="n"/>
      <c r="J345" s="48" t="n"/>
      <c r="K345" s="48" t="n"/>
      <c r="N345" s="47" t="n"/>
      <c r="O345" s="47" t="n"/>
      <c r="Q345" s="49">
        <f>IF(A345="","",IFERROR(INDEX('Famílias'!$E:$E,MATCH(A345,'Famílias'!$A:$A,0)),"família não cadastrada"))</f>
        <v/>
      </c>
      <c r="R345" s="50" t="n"/>
      <c r="S345" s="50" t="n"/>
      <c r="T345" s="50" t="n"/>
      <c r="U345" s="50" t="n"/>
    </row>
    <row r="346">
      <c r="B346" s="45" t="n"/>
      <c r="C346" s="46" t="n"/>
      <c r="E346" s="47" t="n"/>
      <c r="F346" s="47" t="n"/>
      <c r="G346" s="47" t="n"/>
      <c r="J346" s="48" t="n"/>
      <c r="K346" s="48" t="n"/>
      <c r="N346" s="47" t="n"/>
      <c r="O346" s="47" t="n"/>
      <c r="Q346" s="49">
        <f>IF(A346="","",IFERROR(INDEX('Famílias'!$E:$E,MATCH(A346,'Famílias'!$A:$A,0)),"família não cadastrada"))</f>
        <v/>
      </c>
      <c r="R346" s="50" t="n"/>
      <c r="S346" s="50" t="n"/>
      <c r="T346" s="50" t="n"/>
      <c r="U346" s="50" t="n"/>
    </row>
    <row r="347">
      <c r="B347" s="45" t="n"/>
      <c r="C347" s="46" t="n"/>
      <c r="E347" s="47" t="n"/>
      <c r="F347" s="47" t="n"/>
      <c r="G347" s="47" t="n"/>
      <c r="J347" s="48" t="n"/>
      <c r="K347" s="48" t="n"/>
      <c r="N347" s="47" t="n"/>
      <c r="O347" s="47" t="n"/>
      <c r="Q347" s="49">
        <f>IF(A347="","",IFERROR(INDEX('Famílias'!$E:$E,MATCH(A347,'Famílias'!$A:$A,0)),"família não cadastrada"))</f>
        <v/>
      </c>
      <c r="R347" s="50" t="n"/>
      <c r="S347" s="50" t="n"/>
      <c r="T347" s="50" t="n"/>
      <c r="U347" s="50" t="n"/>
    </row>
    <row r="348">
      <c r="B348" s="45" t="n"/>
      <c r="C348" s="46" t="n"/>
      <c r="E348" s="47" t="n"/>
      <c r="F348" s="47" t="n"/>
      <c r="G348" s="47" t="n"/>
      <c r="J348" s="48" t="n"/>
      <c r="K348" s="48" t="n"/>
      <c r="N348" s="47" t="n"/>
      <c r="O348" s="47" t="n"/>
      <c r="Q348" s="49">
        <f>IF(A348="","",IFERROR(INDEX('Famílias'!$E:$E,MATCH(A348,'Famílias'!$A:$A,0)),"família não cadastrada"))</f>
        <v/>
      </c>
      <c r="R348" s="50" t="n"/>
      <c r="S348" s="50" t="n"/>
      <c r="T348" s="50" t="n"/>
      <c r="U348" s="50" t="n"/>
    </row>
    <row r="349">
      <c r="B349" s="45" t="n"/>
      <c r="C349" s="46" t="n"/>
      <c r="E349" s="47" t="n"/>
      <c r="F349" s="47" t="n"/>
      <c r="G349" s="47" t="n"/>
      <c r="J349" s="48" t="n"/>
      <c r="K349" s="48" t="n"/>
      <c r="N349" s="47" t="n"/>
      <c r="O349" s="47" t="n"/>
      <c r="Q349" s="49">
        <f>IF(A349="","",IFERROR(INDEX('Famílias'!$E:$E,MATCH(A349,'Famílias'!$A:$A,0)),"família não cadastrada"))</f>
        <v/>
      </c>
      <c r="R349" s="50" t="n"/>
      <c r="S349" s="50" t="n"/>
      <c r="T349" s="50" t="n"/>
      <c r="U349" s="50" t="n"/>
    </row>
    <row r="350">
      <c r="B350" s="45" t="n"/>
      <c r="C350" s="46" t="n"/>
      <c r="E350" s="47" t="n"/>
      <c r="F350" s="47" t="n"/>
      <c r="G350" s="47" t="n"/>
      <c r="J350" s="48" t="n"/>
      <c r="K350" s="48" t="n"/>
      <c r="N350" s="47" t="n"/>
      <c r="O350" s="47" t="n"/>
      <c r="Q350" s="49">
        <f>IF(A350="","",IFERROR(INDEX('Famílias'!$E:$E,MATCH(A350,'Famílias'!$A:$A,0)),"família não cadastrada"))</f>
        <v/>
      </c>
      <c r="R350" s="50" t="n"/>
      <c r="S350" s="50" t="n"/>
      <c r="T350" s="50" t="n"/>
      <c r="U350" s="50" t="n"/>
    </row>
    <row r="351">
      <c r="B351" s="45" t="n"/>
      <c r="C351" s="46" t="n"/>
      <c r="E351" s="47" t="n"/>
      <c r="F351" s="47" t="n"/>
      <c r="G351" s="47" t="n"/>
      <c r="J351" s="48" t="n"/>
      <c r="K351" s="48" t="n"/>
      <c r="N351" s="47" t="n"/>
      <c r="O351" s="47" t="n"/>
      <c r="Q351" s="49">
        <f>IF(A351="","",IFERROR(INDEX('Famílias'!$E:$E,MATCH(A351,'Famílias'!$A:$A,0)),"família não cadastrada"))</f>
        <v/>
      </c>
      <c r="R351" s="50" t="n"/>
      <c r="S351" s="50" t="n"/>
      <c r="T351" s="50" t="n"/>
      <c r="U351" s="50" t="n"/>
    </row>
    <row r="352">
      <c r="B352" s="45" t="n"/>
      <c r="C352" s="46" t="n"/>
      <c r="E352" s="47" t="n"/>
      <c r="F352" s="47" t="n"/>
      <c r="G352" s="47" t="n"/>
      <c r="J352" s="48" t="n"/>
      <c r="K352" s="48" t="n"/>
      <c r="N352" s="47" t="n"/>
      <c r="O352" s="47" t="n"/>
      <c r="Q352" s="49">
        <f>IF(A352="","",IFERROR(INDEX('Famílias'!$E:$E,MATCH(A352,'Famílias'!$A:$A,0)),"família não cadastrada"))</f>
        <v/>
      </c>
      <c r="R352" s="50" t="n"/>
      <c r="S352" s="50" t="n"/>
      <c r="T352" s="50" t="n"/>
      <c r="U352" s="50" t="n"/>
    </row>
    <row r="353">
      <c r="B353" s="45" t="n"/>
      <c r="C353" s="46" t="n"/>
      <c r="E353" s="47" t="n"/>
      <c r="F353" s="47" t="n"/>
      <c r="G353" s="47" t="n"/>
      <c r="J353" s="48" t="n"/>
      <c r="K353" s="48" t="n"/>
      <c r="N353" s="47" t="n"/>
      <c r="O353" s="47" t="n"/>
      <c r="Q353" s="49">
        <f>IF(A353="","",IFERROR(INDEX('Famílias'!$E:$E,MATCH(A353,'Famílias'!$A:$A,0)),"família não cadastrada"))</f>
        <v/>
      </c>
      <c r="R353" s="50" t="n"/>
      <c r="S353" s="50" t="n"/>
      <c r="T353" s="50" t="n"/>
      <c r="U353" s="50" t="n"/>
    </row>
    <row r="354">
      <c r="B354" s="45" t="n"/>
      <c r="C354" s="46" t="n"/>
      <c r="E354" s="47" t="n"/>
      <c r="F354" s="47" t="n"/>
      <c r="G354" s="47" t="n"/>
      <c r="J354" s="48" t="n"/>
      <c r="K354" s="48" t="n"/>
      <c r="N354" s="47" t="n"/>
      <c r="O354" s="47" t="n"/>
      <c r="Q354" s="49">
        <f>IF(A354="","",IFERROR(INDEX('Famílias'!$E:$E,MATCH(A354,'Famílias'!$A:$A,0)),"família não cadastrada"))</f>
        <v/>
      </c>
      <c r="R354" s="50" t="n"/>
      <c r="S354" s="50" t="n"/>
      <c r="T354" s="50" t="n"/>
      <c r="U354" s="50" t="n"/>
    </row>
    <row r="355">
      <c r="B355" s="45" t="n"/>
      <c r="C355" s="46" t="n"/>
      <c r="E355" s="47" t="n"/>
      <c r="F355" s="47" t="n"/>
      <c r="G355" s="47" t="n"/>
      <c r="J355" s="48" t="n"/>
      <c r="K355" s="48" t="n"/>
      <c r="N355" s="47" t="n"/>
      <c r="O355" s="47" t="n"/>
      <c r="Q355" s="49">
        <f>IF(A355="","",IFERROR(INDEX('Famílias'!$E:$E,MATCH(A355,'Famílias'!$A:$A,0)),"família não cadastrada"))</f>
        <v/>
      </c>
      <c r="R355" s="50" t="n"/>
      <c r="S355" s="50" t="n"/>
      <c r="T355" s="50" t="n"/>
      <c r="U355" s="50" t="n"/>
    </row>
    <row r="356">
      <c r="B356" s="45" t="n"/>
      <c r="C356" s="46" t="n"/>
      <c r="E356" s="47" t="n"/>
      <c r="F356" s="47" t="n"/>
      <c r="G356" s="47" t="n"/>
      <c r="J356" s="48" t="n"/>
      <c r="K356" s="48" t="n"/>
      <c r="N356" s="47" t="n"/>
      <c r="O356" s="47" t="n"/>
      <c r="Q356" s="49">
        <f>IF(A356="","",IFERROR(INDEX('Famílias'!$E:$E,MATCH(A356,'Famílias'!$A:$A,0)),"família não cadastrada"))</f>
        <v/>
      </c>
      <c r="R356" s="50" t="n"/>
      <c r="S356" s="50" t="n"/>
      <c r="T356" s="50" t="n"/>
      <c r="U356" s="50" t="n"/>
    </row>
    <row r="357">
      <c r="B357" s="45" t="n"/>
      <c r="C357" s="46" t="n"/>
      <c r="E357" s="47" t="n"/>
      <c r="F357" s="47" t="n"/>
      <c r="G357" s="47" t="n"/>
      <c r="J357" s="48" t="n"/>
      <c r="K357" s="48" t="n"/>
      <c r="N357" s="47" t="n"/>
      <c r="O357" s="47" t="n"/>
      <c r="Q357" s="49">
        <f>IF(A357="","",IFERROR(INDEX('Famílias'!$E:$E,MATCH(A357,'Famílias'!$A:$A,0)),"família não cadastrada"))</f>
        <v/>
      </c>
      <c r="R357" s="50" t="n"/>
      <c r="S357" s="50" t="n"/>
      <c r="T357" s="50" t="n"/>
      <c r="U357" s="50" t="n"/>
    </row>
    <row r="358">
      <c r="B358" s="45" t="n"/>
      <c r="C358" s="46" t="n"/>
      <c r="E358" s="47" t="n"/>
      <c r="F358" s="47" t="n"/>
      <c r="G358" s="47" t="n"/>
      <c r="J358" s="48" t="n"/>
      <c r="K358" s="48" t="n"/>
      <c r="N358" s="47" t="n"/>
      <c r="O358" s="47" t="n"/>
      <c r="Q358" s="49">
        <f>IF(A358="","",IFERROR(INDEX('Famílias'!$E:$E,MATCH(A358,'Famílias'!$A:$A,0)),"família não cadastrada"))</f>
        <v/>
      </c>
      <c r="R358" s="50" t="n"/>
      <c r="S358" s="50" t="n"/>
      <c r="T358" s="50" t="n"/>
      <c r="U358" s="50" t="n"/>
    </row>
    <row r="359">
      <c r="B359" s="45" t="n"/>
      <c r="C359" s="46" t="n"/>
      <c r="E359" s="47" t="n"/>
      <c r="F359" s="47" t="n"/>
      <c r="G359" s="47" t="n"/>
      <c r="J359" s="48" t="n"/>
      <c r="K359" s="48" t="n"/>
      <c r="N359" s="47" t="n"/>
      <c r="O359" s="47" t="n"/>
      <c r="Q359" s="49">
        <f>IF(A359="","",IFERROR(INDEX('Famílias'!$E:$E,MATCH(A359,'Famílias'!$A:$A,0)),"família não cadastrada"))</f>
        <v/>
      </c>
      <c r="R359" s="50" t="n"/>
      <c r="S359" s="50" t="n"/>
      <c r="T359" s="50" t="n"/>
      <c r="U359" s="50" t="n"/>
    </row>
    <row r="360">
      <c r="B360" s="45" t="n"/>
      <c r="C360" s="46" t="n"/>
      <c r="E360" s="47" t="n"/>
      <c r="F360" s="47" t="n"/>
      <c r="G360" s="47" t="n"/>
      <c r="J360" s="48" t="n"/>
      <c r="K360" s="48" t="n"/>
      <c r="N360" s="47" t="n"/>
      <c r="O360" s="47" t="n"/>
      <c r="Q360" s="49">
        <f>IF(A360="","",IFERROR(INDEX('Famílias'!$E:$E,MATCH(A360,'Famílias'!$A:$A,0)),"família não cadastrada"))</f>
        <v/>
      </c>
      <c r="R360" s="50" t="n"/>
      <c r="S360" s="50" t="n"/>
      <c r="T360" s="50" t="n"/>
      <c r="U360" s="50" t="n"/>
    </row>
    <row r="361">
      <c r="B361" s="45" t="n"/>
      <c r="C361" s="46" t="n"/>
      <c r="E361" s="47" t="n"/>
      <c r="F361" s="47" t="n"/>
      <c r="G361" s="47" t="n"/>
      <c r="J361" s="48" t="n"/>
      <c r="K361" s="48" t="n"/>
      <c r="N361" s="47" t="n"/>
      <c r="O361" s="47" t="n"/>
      <c r="Q361" s="49">
        <f>IF(A361="","",IFERROR(INDEX('Famílias'!$E:$E,MATCH(A361,'Famílias'!$A:$A,0)),"família não cadastrada"))</f>
        <v/>
      </c>
      <c r="R361" s="50" t="n"/>
      <c r="S361" s="50" t="n"/>
      <c r="T361" s="50" t="n"/>
      <c r="U361" s="50" t="n"/>
    </row>
    <row r="362">
      <c r="B362" s="45" t="n"/>
      <c r="C362" s="46" t="n"/>
      <c r="E362" s="47" t="n"/>
      <c r="F362" s="47" t="n"/>
      <c r="G362" s="47" t="n"/>
      <c r="J362" s="48" t="n"/>
      <c r="K362" s="48" t="n"/>
      <c r="N362" s="47" t="n"/>
      <c r="O362" s="47" t="n"/>
      <c r="Q362" s="49">
        <f>IF(A362="","",IFERROR(INDEX('Famílias'!$E:$E,MATCH(A362,'Famílias'!$A:$A,0)),"família não cadastrada"))</f>
        <v/>
      </c>
      <c r="R362" s="50" t="n"/>
      <c r="S362" s="50" t="n"/>
      <c r="T362" s="50" t="n"/>
      <c r="U362" s="50" t="n"/>
    </row>
    <row r="363">
      <c r="B363" s="45" t="n"/>
      <c r="C363" s="46" t="n"/>
      <c r="E363" s="47" t="n"/>
      <c r="F363" s="47" t="n"/>
      <c r="G363" s="47" t="n"/>
      <c r="J363" s="48" t="n"/>
      <c r="K363" s="48" t="n"/>
      <c r="N363" s="47" t="n"/>
      <c r="O363" s="47" t="n"/>
      <c r="Q363" s="49">
        <f>IF(A363="","",IFERROR(INDEX('Famílias'!$E:$E,MATCH(A363,'Famílias'!$A:$A,0)),"família não cadastrada"))</f>
        <v/>
      </c>
      <c r="R363" s="50" t="n"/>
      <c r="S363" s="50" t="n"/>
      <c r="T363" s="50" t="n"/>
      <c r="U363" s="50" t="n"/>
    </row>
    <row r="364">
      <c r="B364" s="45" t="n"/>
      <c r="C364" s="46" t="n"/>
      <c r="E364" s="47" t="n"/>
      <c r="F364" s="47" t="n"/>
      <c r="G364" s="47" t="n"/>
      <c r="J364" s="48" t="n"/>
      <c r="K364" s="48" t="n"/>
      <c r="N364" s="47" t="n"/>
      <c r="O364" s="47" t="n"/>
      <c r="Q364" s="49">
        <f>IF(A364="","",IFERROR(INDEX('Famílias'!$E:$E,MATCH(A364,'Famílias'!$A:$A,0)),"família não cadastrada"))</f>
        <v/>
      </c>
      <c r="R364" s="50" t="n"/>
      <c r="S364" s="50" t="n"/>
      <c r="T364" s="50" t="n"/>
      <c r="U364" s="50" t="n"/>
    </row>
    <row r="365">
      <c r="B365" s="45" t="n"/>
      <c r="C365" s="46" t="n"/>
      <c r="E365" s="47" t="n"/>
      <c r="F365" s="47" t="n"/>
      <c r="G365" s="47" t="n"/>
      <c r="J365" s="48" t="n"/>
      <c r="K365" s="48" t="n"/>
      <c r="N365" s="47" t="n"/>
      <c r="O365" s="47" t="n"/>
      <c r="Q365" s="49">
        <f>IF(A365="","",IFERROR(INDEX('Famílias'!$E:$E,MATCH(A365,'Famílias'!$A:$A,0)),"família não cadastrada"))</f>
        <v/>
      </c>
      <c r="R365" s="50" t="n"/>
      <c r="S365" s="50" t="n"/>
      <c r="T365" s="50" t="n"/>
      <c r="U365" s="50" t="n"/>
    </row>
    <row r="366">
      <c r="B366" s="45" t="n"/>
      <c r="C366" s="46" t="n"/>
      <c r="E366" s="47" t="n"/>
      <c r="F366" s="47" t="n"/>
      <c r="G366" s="47" t="n"/>
      <c r="J366" s="48" t="n"/>
      <c r="K366" s="48" t="n"/>
      <c r="N366" s="47" t="n"/>
      <c r="O366" s="47" t="n"/>
      <c r="Q366" s="49">
        <f>IF(A366="","",IFERROR(INDEX('Famílias'!$E:$E,MATCH(A366,'Famílias'!$A:$A,0)),"família não cadastrada"))</f>
        <v/>
      </c>
      <c r="R366" s="50" t="n"/>
      <c r="S366" s="50" t="n"/>
      <c r="T366" s="50" t="n"/>
      <c r="U366" s="50" t="n"/>
    </row>
    <row r="367">
      <c r="B367" s="45" t="n"/>
      <c r="C367" s="46" t="n"/>
      <c r="E367" s="47" t="n"/>
      <c r="F367" s="47" t="n"/>
      <c r="G367" s="47" t="n"/>
      <c r="J367" s="48" t="n"/>
      <c r="K367" s="48" t="n"/>
      <c r="N367" s="47" t="n"/>
      <c r="O367" s="47" t="n"/>
      <c r="Q367" s="49">
        <f>IF(A367="","",IFERROR(INDEX('Famílias'!$E:$E,MATCH(A367,'Famílias'!$A:$A,0)),"família não cadastrada"))</f>
        <v/>
      </c>
      <c r="R367" s="50" t="n"/>
      <c r="S367" s="50" t="n"/>
      <c r="T367" s="50" t="n"/>
      <c r="U367" s="50" t="n"/>
    </row>
    <row r="368">
      <c r="B368" s="45" t="n"/>
      <c r="C368" s="46" t="n"/>
      <c r="E368" s="47" t="n"/>
      <c r="F368" s="47" t="n"/>
      <c r="G368" s="47" t="n"/>
      <c r="J368" s="48" t="n"/>
      <c r="K368" s="48" t="n"/>
      <c r="N368" s="47" t="n"/>
      <c r="O368" s="47" t="n"/>
      <c r="Q368" s="49">
        <f>IF(A368="","",IFERROR(INDEX('Famílias'!$E:$E,MATCH(A368,'Famílias'!$A:$A,0)),"família não cadastrada"))</f>
        <v/>
      </c>
      <c r="R368" s="50" t="n"/>
      <c r="S368" s="50" t="n"/>
      <c r="T368" s="50" t="n"/>
      <c r="U368" s="50" t="n"/>
    </row>
    <row r="369">
      <c r="B369" s="45" t="n"/>
      <c r="C369" s="46" t="n"/>
      <c r="E369" s="47" t="n"/>
      <c r="F369" s="47" t="n"/>
      <c r="G369" s="47" t="n"/>
      <c r="J369" s="48" t="n"/>
      <c r="K369" s="48" t="n"/>
      <c r="N369" s="47" t="n"/>
      <c r="O369" s="47" t="n"/>
      <c r="Q369" s="49">
        <f>IF(A369="","",IFERROR(INDEX('Famílias'!$E:$E,MATCH(A369,'Famílias'!$A:$A,0)),"família não cadastrada"))</f>
        <v/>
      </c>
      <c r="R369" s="50" t="n"/>
      <c r="S369" s="50" t="n"/>
      <c r="T369" s="50" t="n"/>
      <c r="U369" s="50" t="n"/>
    </row>
    <row r="370">
      <c r="B370" s="45" t="n"/>
      <c r="C370" s="46" t="n"/>
      <c r="E370" s="47" t="n"/>
      <c r="F370" s="47" t="n"/>
      <c r="G370" s="47" t="n"/>
      <c r="J370" s="48" t="n"/>
      <c r="K370" s="48" t="n"/>
      <c r="N370" s="47" t="n"/>
      <c r="O370" s="47" t="n"/>
      <c r="Q370" s="49">
        <f>IF(A370="","",IFERROR(INDEX('Famílias'!$E:$E,MATCH(A370,'Famílias'!$A:$A,0)),"família não cadastrada"))</f>
        <v/>
      </c>
      <c r="R370" s="50" t="n"/>
      <c r="S370" s="50" t="n"/>
      <c r="T370" s="50" t="n"/>
      <c r="U370" s="50" t="n"/>
    </row>
    <row r="371">
      <c r="B371" s="45" t="n"/>
      <c r="C371" s="46" t="n"/>
      <c r="E371" s="47" t="n"/>
      <c r="F371" s="47" t="n"/>
      <c r="G371" s="47" t="n"/>
      <c r="J371" s="48" t="n"/>
      <c r="K371" s="48" t="n"/>
      <c r="N371" s="47" t="n"/>
      <c r="O371" s="47" t="n"/>
      <c r="Q371" s="49">
        <f>IF(A371="","",IFERROR(INDEX('Famílias'!$E:$E,MATCH(A371,'Famílias'!$A:$A,0)),"família não cadastrada"))</f>
        <v/>
      </c>
      <c r="R371" s="50" t="n"/>
      <c r="S371" s="50" t="n"/>
      <c r="T371" s="50" t="n"/>
      <c r="U371" s="50" t="n"/>
    </row>
    <row r="372">
      <c r="B372" s="45" t="n"/>
      <c r="C372" s="46" t="n"/>
      <c r="E372" s="47" t="n"/>
      <c r="F372" s="47" t="n"/>
      <c r="G372" s="47" t="n"/>
      <c r="J372" s="48" t="n"/>
      <c r="K372" s="48" t="n"/>
      <c r="N372" s="47" t="n"/>
      <c r="O372" s="47" t="n"/>
      <c r="Q372" s="49">
        <f>IF(A372="","",IFERROR(INDEX('Famílias'!$E:$E,MATCH(A372,'Famílias'!$A:$A,0)),"família não cadastrada"))</f>
        <v/>
      </c>
      <c r="R372" s="50" t="n"/>
      <c r="S372" s="50" t="n"/>
      <c r="T372" s="50" t="n"/>
      <c r="U372" s="50" t="n"/>
    </row>
    <row r="373">
      <c r="B373" s="45" t="n"/>
      <c r="C373" s="46" t="n"/>
      <c r="E373" s="47" t="n"/>
      <c r="F373" s="47" t="n"/>
      <c r="G373" s="47" t="n"/>
      <c r="J373" s="48" t="n"/>
      <c r="K373" s="48" t="n"/>
      <c r="N373" s="47" t="n"/>
      <c r="O373" s="47" t="n"/>
      <c r="Q373" s="49">
        <f>IF(A373="","",IFERROR(INDEX('Famílias'!$E:$E,MATCH(A373,'Famílias'!$A:$A,0)),"família não cadastrada"))</f>
        <v/>
      </c>
      <c r="R373" s="50" t="n"/>
      <c r="S373" s="50" t="n"/>
      <c r="T373" s="50" t="n"/>
      <c r="U373" s="50" t="n"/>
    </row>
    <row r="374">
      <c r="B374" s="45" t="n"/>
      <c r="C374" s="46" t="n"/>
      <c r="E374" s="47" t="n"/>
      <c r="F374" s="47" t="n"/>
      <c r="G374" s="47" t="n"/>
      <c r="J374" s="48" t="n"/>
      <c r="K374" s="48" t="n"/>
      <c r="N374" s="47" t="n"/>
      <c r="O374" s="47" t="n"/>
      <c r="Q374" s="49">
        <f>IF(A374="","",IFERROR(INDEX('Famílias'!$E:$E,MATCH(A374,'Famílias'!$A:$A,0)),"família não cadastrada"))</f>
        <v/>
      </c>
      <c r="R374" s="50" t="n"/>
      <c r="S374" s="50" t="n"/>
      <c r="T374" s="50" t="n"/>
      <c r="U374" s="50" t="n"/>
    </row>
    <row r="375">
      <c r="B375" s="45" t="n"/>
      <c r="C375" s="46" t="n"/>
      <c r="E375" s="47" t="n"/>
      <c r="F375" s="47" t="n"/>
      <c r="G375" s="47" t="n"/>
      <c r="J375" s="48" t="n"/>
      <c r="K375" s="48" t="n"/>
      <c r="N375" s="47" t="n"/>
      <c r="O375" s="47" t="n"/>
      <c r="Q375" s="49">
        <f>IF(A375="","",IFERROR(INDEX('Famílias'!$E:$E,MATCH(A375,'Famílias'!$A:$A,0)),"família não cadastrada"))</f>
        <v/>
      </c>
      <c r="R375" s="50" t="n"/>
      <c r="S375" s="50" t="n"/>
      <c r="T375" s="50" t="n"/>
      <c r="U375" s="50" t="n"/>
    </row>
    <row r="376">
      <c r="B376" s="45" t="n"/>
      <c r="C376" s="46" t="n"/>
      <c r="E376" s="47" t="n"/>
      <c r="F376" s="47" t="n"/>
      <c r="G376" s="47" t="n"/>
      <c r="J376" s="48" t="n"/>
      <c r="K376" s="48" t="n"/>
      <c r="N376" s="47" t="n"/>
      <c r="O376" s="47" t="n"/>
      <c r="Q376" s="49">
        <f>IF(A376="","",IFERROR(INDEX('Famílias'!$E:$E,MATCH(A376,'Famílias'!$A:$A,0)),"família não cadastrada"))</f>
        <v/>
      </c>
      <c r="R376" s="50" t="n"/>
      <c r="S376" s="50" t="n"/>
      <c r="T376" s="50" t="n"/>
      <c r="U376" s="50" t="n"/>
    </row>
    <row r="377">
      <c r="B377" s="45" t="n"/>
      <c r="C377" s="46" t="n"/>
      <c r="E377" s="47" t="n"/>
      <c r="F377" s="47" t="n"/>
      <c r="G377" s="47" t="n"/>
      <c r="J377" s="48" t="n"/>
      <c r="K377" s="48" t="n"/>
      <c r="N377" s="47" t="n"/>
      <c r="O377" s="47" t="n"/>
      <c r="Q377" s="49">
        <f>IF(A377="","",IFERROR(INDEX('Famílias'!$E:$E,MATCH(A377,'Famílias'!$A:$A,0)),"família não cadastrada"))</f>
        <v/>
      </c>
      <c r="R377" s="50" t="n"/>
      <c r="S377" s="50" t="n"/>
      <c r="T377" s="50" t="n"/>
      <c r="U377" s="50" t="n"/>
    </row>
    <row r="378">
      <c r="B378" s="45" t="n"/>
      <c r="C378" s="46" t="n"/>
      <c r="E378" s="47" t="n"/>
      <c r="F378" s="47" t="n"/>
      <c r="G378" s="47" t="n"/>
      <c r="J378" s="48" t="n"/>
      <c r="K378" s="48" t="n"/>
      <c r="N378" s="47" t="n"/>
      <c r="O378" s="47" t="n"/>
      <c r="Q378" s="49">
        <f>IF(A378="","",IFERROR(INDEX('Famílias'!$E:$E,MATCH(A378,'Famílias'!$A:$A,0)),"família não cadastrada"))</f>
        <v/>
      </c>
      <c r="R378" s="50" t="n"/>
      <c r="S378" s="50" t="n"/>
      <c r="T378" s="50" t="n"/>
      <c r="U378" s="50" t="n"/>
    </row>
    <row r="379">
      <c r="B379" s="45" t="n"/>
      <c r="C379" s="46" t="n"/>
      <c r="E379" s="47" t="n"/>
      <c r="F379" s="47" t="n"/>
      <c r="G379" s="47" t="n"/>
      <c r="J379" s="48" t="n"/>
      <c r="K379" s="48" t="n"/>
      <c r="N379" s="47" t="n"/>
      <c r="O379" s="47" t="n"/>
      <c r="Q379" s="49">
        <f>IF(A379="","",IFERROR(INDEX('Famílias'!$E:$E,MATCH(A379,'Famílias'!$A:$A,0)),"família não cadastrada"))</f>
        <v/>
      </c>
      <c r="R379" s="50" t="n"/>
      <c r="S379" s="50" t="n"/>
      <c r="T379" s="50" t="n"/>
      <c r="U379" s="50" t="n"/>
    </row>
    <row r="380">
      <c r="B380" s="45" t="n"/>
      <c r="C380" s="46" t="n"/>
      <c r="E380" s="47" t="n"/>
      <c r="F380" s="47" t="n"/>
      <c r="G380" s="47" t="n"/>
      <c r="J380" s="48" t="n"/>
      <c r="K380" s="48" t="n"/>
      <c r="N380" s="47" t="n"/>
      <c r="O380" s="47" t="n"/>
      <c r="Q380" s="49">
        <f>IF(A380="","",IFERROR(INDEX('Famílias'!$E:$E,MATCH(A380,'Famílias'!$A:$A,0)),"família não cadastrada"))</f>
        <v/>
      </c>
      <c r="R380" s="50" t="n"/>
      <c r="S380" s="50" t="n"/>
      <c r="T380" s="50" t="n"/>
      <c r="U380" s="50" t="n"/>
    </row>
    <row r="381">
      <c r="B381" s="45" t="n"/>
      <c r="C381" s="46" t="n"/>
      <c r="E381" s="47" t="n"/>
      <c r="F381" s="47" t="n"/>
      <c r="G381" s="47" t="n"/>
      <c r="J381" s="48" t="n"/>
      <c r="K381" s="48" t="n"/>
      <c r="N381" s="47" t="n"/>
      <c r="O381" s="47" t="n"/>
      <c r="Q381" s="49">
        <f>IF(A381="","",IFERROR(INDEX('Famílias'!$E:$E,MATCH(A381,'Famílias'!$A:$A,0)),"família não cadastrada"))</f>
        <v/>
      </c>
      <c r="R381" s="50" t="n"/>
      <c r="S381" s="50" t="n"/>
      <c r="T381" s="50" t="n"/>
      <c r="U381" s="50" t="n"/>
    </row>
    <row r="382">
      <c r="B382" s="45" t="n"/>
      <c r="C382" s="46" t="n"/>
      <c r="E382" s="47" t="n"/>
      <c r="F382" s="47" t="n"/>
      <c r="G382" s="47" t="n"/>
      <c r="J382" s="48" t="n"/>
      <c r="K382" s="48" t="n"/>
      <c r="N382" s="47" t="n"/>
      <c r="O382" s="47" t="n"/>
      <c r="Q382" s="49">
        <f>IF(A382="","",IFERROR(INDEX('Famílias'!$E:$E,MATCH(A382,'Famílias'!$A:$A,0)),"família não cadastrada"))</f>
        <v/>
      </c>
      <c r="R382" s="50" t="n"/>
      <c r="S382" s="50" t="n"/>
      <c r="T382" s="50" t="n"/>
      <c r="U382" s="50" t="n"/>
    </row>
    <row r="383">
      <c r="B383" s="45" t="n"/>
      <c r="C383" s="46" t="n"/>
      <c r="E383" s="47" t="n"/>
      <c r="F383" s="47" t="n"/>
      <c r="G383" s="47" t="n"/>
      <c r="J383" s="48" t="n"/>
      <c r="K383" s="48" t="n"/>
      <c r="N383" s="47" t="n"/>
      <c r="O383" s="47" t="n"/>
      <c r="Q383" s="49">
        <f>IF(A383="","",IFERROR(INDEX('Famílias'!$E:$E,MATCH(A383,'Famílias'!$A:$A,0)),"família não cadastrada"))</f>
        <v/>
      </c>
      <c r="R383" s="50" t="n"/>
      <c r="S383" s="50" t="n"/>
      <c r="T383" s="50" t="n"/>
      <c r="U383" s="50" t="n"/>
    </row>
    <row r="384">
      <c r="B384" s="45" t="n"/>
      <c r="C384" s="46" t="n"/>
      <c r="E384" s="47" t="n"/>
      <c r="F384" s="47" t="n"/>
      <c r="G384" s="47" t="n"/>
      <c r="J384" s="48" t="n"/>
      <c r="K384" s="48" t="n"/>
      <c r="N384" s="47" t="n"/>
      <c r="O384" s="47" t="n"/>
      <c r="Q384" s="49">
        <f>IF(A384="","",IFERROR(INDEX('Famílias'!$E:$E,MATCH(A384,'Famílias'!$A:$A,0)),"família não cadastrada"))</f>
        <v/>
      </c>
      <c r="R384" s="50" t="n"/>
      <c r="S384" s="50" t="n"/>
      <c r="T384" s="50" t="n"/>
      <c r="U384" s="50" t="n"/>
    </row>
    <row r="385">
      <c r="B385" s="45" t="n"/>
      <c r="C385" s="46" t="n"/>
      <c r="E385" s="47" t="n"/>
      <c r="F385" s="47" t="n"/>
      <c r="G385" s="47" t="n"/>
      <c r="J385" s="48" t="n"/>
      <c r="K385" s="48" t="n"/>
      <c r="N385" s="47" t="n"/>
      <c r="O385" s="47" t="n"/>
      <c r="Q385" s="49">
        <f>IF(A385="","",IFERROR(INDEX('Famílias'!$E:$E,MATCH(A385,'Famílias'!$A:$A,0)),"família não cadastrada"))</f>
        <v/>
      </c>
      <c r="R385" s="50" t="n"/>
      <c r="S385" s="50" t="n"/>
      <c r="T385" s="50" t="n"/>
      <c r="U385" s="50" t="n"/>
    </row>
    <row r="386">
      <c r="B386" s="45" t="n"/>
      <c r="C386" s="46" t="n"/>
      <c r="E386" s="47" t="n"/>
      <c r="F386" s="47" t="n"/>
      <c r="G386" s="47" t="n"/>
      <c r="J386" s="48" t="n"/>
      <c r="K386" s="48" t="n"/>
      <c r="N386" s="47" t="n"/>
      <c r="O386" s="47" t="n"/>
      <c r="Q386" s="49">
        <f>IF(A386="","",IFERROR(INDEX('Famílias'!$E:$E,MATCH(A386,'Famílias'!$A:$A,0)),"família não cadastrada"))</f>
        <v/>
      </c>
      <c r="R386" s="50" t="n"/>
      <c r="S386" s="50" t="n"/>
      <c r="T386" s="50" t="n"/>
      <c r="U386" s="50" t="n"/>
    </row>
    <row r="387">
      <c r="B387" s="45" t="n"/>
      <c r="C387" s="46" t="n"/>
      <c r="E387" s="47" t="n"/>
      <c r="F387" s="47" t="n"/>
      <c r="G387" s="47" t="n"/>
      <c r="J387" s="48" t="n"/>
      <c r="K387" s="48" t="n"/>
      <c r="N387" s="47" t="n"/>
      <c r="O387" s="47" t="n"/>
      <c r="Q387" s="49">
        <f>IF(A387="","",IFERROR(INDEX('Famílias'!$E:$E,MATCH(A387,'Famílias'!$A:$A,0)),"família não cadastrada"))</f>
        <v/>
      </c>
      <c r="R387" s="50" t="n"/>
      <c r="S387" s="50" t="n"/>
      <c r="T387" s="50" t="n"/>
      <c r="U387" s="50" t="n"/>
    </row>
    <row r="388">
      <c r="B388" s="45" t="n"/>
      <c r="C388" s="46" t="n"/>
      <c r="E388" s="47" t="n"/>
      <c r="F388" s="47" t="n"/>
      <c r="G388" s="47" t="n"/>
      <c r="J388" s="48" t="n"/>
      <c r="K388" s="48" t="n"/>
      <c r="N388" s="47" t="n"/>
      <c r="O388" s="47" t="n"/>
      <c r="Q388" s="49">
        <f>IF(A388="","",IFERROR(INDEX('Famílias'!$E:$E,MATCH(A388,'Famílias'!$A:$A,0)),"família não cadastrada"))</f>
        <v/>
      </c>
      <c r="R388" s="50" t="n"/>
      <c r="S388" s="50" t="n"/>
      <c r="T388" s="50" t="n"/>
      <c r="U388" s="50" t="n"/>
    </row>
    <row r="389">
      <c r="B389" s="45" t="n"/>
      <c r="C389" s="46" t="n"/>
      <c r="E389" s="47" t="n"/>
      <c r="F389" s="47" t="n"/>
      <c r="G389" s="47" t="n"/>
      <c r="J389" s="48" t="n"/>
      <c r="K389" s="48" t="n"/>
      <c r="N389" s="47" t="n"/>
      <c r="O389" s="47" t="n"/>
      <c r="Q389" s="49">
        <f>IF(A389="","",IFERROR(INDEX('Famílias'!$E:$E,MATCH(A389,'Famílias'!$A:$A,0)),"família não cadastrada"))</f>
        <v/>
      </c>
      <c r="R389" s="50" t="n"/>
      <c r="S389" s="50" t="n"/>
      <c r="T389" s="50" t="n"/>
      <c r="U389" s="50" t="n"/>
    </row>
    <row r="390">
      <c r="B390" s="45" t="n"/>
      <c r="C390" s="46" t="n"/>
      <c r="E390" s="47" t="n"/>
      <c r="F390" s="47" t="n"/>
      <c r="G390" s="47" t="n"/>
      <c r="J390" s="48" t="n"/>
      <c r="K390" s="48" t="n"/>
      <c r="N390" s="47" t="n"/>
      <c r="O390" s="47" t="n"/>
      <c r="Q390" s="49">
        <f>IF(A390="","",IFERROR(INDEX('Famílias'!$E:$E,MATCH(A390,'Famílias'!$A:$A,0)),"família não cadastrada"))</f>
        <v/>
      </c>
      <c r="R390" s="50" t="n"/>
      <c r="S390" s="50" t="n"/>
      <c r="T390" s="50" t="n"/>
      <c r="U390" s="50" t="n"/>
    </row>
    <row r="391">
      <c r="B391" s="45" t="n"/>
      <c r="C391" s="46" t="n"/>
      <c r="E391" s="47" t="n"/>
      <c r="F391" s="47" t="n"/>
      <c r="G391" s="47" t="n"/>
      <c r="J391" s="48" t="n"/>
      <c r="K391" s="48" t="n"/>
      <c r="N391" s="47" t="n"/>
      <c r="O391" s="47" t="n"/>
      <c r="Q391" s="49">
        <f>IF(A391="","",IFERROR(INDEX('Famílias'!$E:$E,MATCH(A391,'Famílias'!$A:$A,0)),"família não cadastrada"))</f>
        <v/>
      </c>
      <c r="R391" s="50" t="n"/>
      <c r="S391" s="50" t="n"/>
      <c r="T391" s="50" t="n"/>
      <c r="U391" s="50" t="n"/>
    </row>
    <row r="392">
      <c r="B392" s="45" t="n"/>
      <c r="C392" s="46" t="n"/>
      <c r="E392" s="47" t="n"/>
      <c r="F392" s="47" t="n"/>
      <c r="G392" s="47" t="n"/>
      <c r="J392" s="48" t="n"/>
      <c r="K392" s="48" t="n"/>
      <c r="N392" s="47" t="n"/>
      <c r="O392" s="47" t="n"/>
      <c r="Q392" s="49">
        <f>IF(A392="","",IFERROR(INDEX('Famílias'!$E:$E,MATCH(A392,'Famílias'!$A:$A,0)),"família não cadastrada"))</f>
        <v/>
      </c>
      <c r="R392" s="50" t="n"/>
      <c r="S392" s="50" t="n"/>
      <c r="T392" s="50" t="n"/>
      <c r="U392" s="50" t="n"/>
    </row>
    <row r="393">
      <c r="B393" s="45" t="n"/>
      <c r="C393" s="46" t="n"/>
      <c r="E393" s="47" t="n"/>
      <c r="F393" s="47" t="n"/>
      <c r="G393" s="47" t="n"/>
      <c r="J393" s="48" t="n"/>
      <c r="K393" s="48" t="n"/>
      <c r="N393" s="47" t="n"/>
      <c r="O393" s="47" t="n"/>
      <c r="Q393" s="49">
        <f>IF(A393="","",IFERROR(INDEX('Famílias'!$E:$E,MATCH(A393,'Famílias'!$A:$A,0)),"família não cadastrada"))</f>
        <v/>
      </c>
      <c r="R393" s="50" t="n"/>
      <c r="S393" s="50" t="n"/>
      <c r="T393" s="50" t="n"/>
      <c r="U393" s="50" t="n"/>
    </row>
    <row r="394">
      <c r="B394" s="45" t="n"/>
      <c r="C394" s="46" t="n"/>
      <c r="E394" s="47" t="n"/>
      <c r="F394" s="47" t="n"/>
      <c r="G394" s="47" t="n"/>
      <c r="J394" s="48" t="n"/>
      <c r="K394" s="48" t="n"/>
      <c r="N394" s="47" t="n"/>
      <c r="O394" s="47" t="n"/>
      <c r="Q394" s="49">
        <f>IF(A394="","",IFERROR(INDEX('Famílias'!$E:$E,MATCH(A394,'Famílias'!$A:$A,0)),"família não cadastrada"))</f>
        <v/>
      </c>
      <c r="R394" s="50" t="n"/>
      <c r="S394" s="50" t="n"/>
      <c r="T394" s="50" t="n"/>
      <c r="U394" s="50" t="n"/>
    </row>
    <row r="395">
      <c r="B395" s="45" t="n"/>
      <c r="C395" s="46" t="n"/>
      <c r="E395" s="47" t="n"/>
      <c r="F395" s="47" t="n"/>
      <c r="G395" s="47" t="n"/>
      <c r="J395" s="48" t="n"/>
      <c r="K395" s="48" t="n"/>
      <c r="N395" s="47" t="n"/>
      <c r="O395" s="47" t="n"/>
      <c r="Q395" s="49">
        <f>IF(A395="","",IFERROR(INDEX('Famílias'!$E:$E,MATCH(A395,'Famílias'!$A:$A,0)),"família não cadastrada"))</f>
        <v/>
      </c>
      <c r="R395" s="50" t="n"/>
      <c r="S395" s="50" t="n"/>
      <c r="T395" s="50" t="n"/>
      <c r="U395" s="50" t="n"/>
    </row>
    <row r="396">
      <c r="B396" s="45" t="n"/>
      <c r="C396" s="46" t="n"/>
      <c r="E396" s="47" t="n"/>
      <c r="F396" s="47" t="n"/>
      <c r="G396" s="47" t="n"/>
      <c r="J396" s="48" t="n"/>
      <c r="K396" s="48" t="n"/>
      <c r="N396" s="47" t="n"/>
      <c r="O396" s="47" t="n"/>
      <c r="Q396" s="49">
        <f>IF(A396="","",IFERROR(INDEX('Famílias'!$E:$E,MATCH(A396,'Famílias'!$A:$A,0)),"família não cadastrada"))</f>
        <v/>
      </c>
      <c r="R396" s="50" t="n"/>
      <c r="S396" s="50" t="n"/>
      <c r="T396" s="50" t="n"/>
      <c r="U396" s="50" t="n"/>
    </row>
    <row r="397">
      <c r="B397" s="45" t="n"/>
      <c r="C397" s="46" t="n"/>
      <c r="E397" s="47" t="n"/>
      <c r="F397" s="47" t="n"/>
      <c r="G397" s="47" t="n"/>
      <c r="J397" s="48" t="n"/>
      <c r="K397" s="48" t="n"/>
      <c r="N397" s="47" t="n"/>
      <c r="O397" s="47" t="n"/>
      <c r="Q397" s="49">
        <f>IF(A397="","",IFERROR(INDEX('Famílias'!$E:$E,MATCH(A397,'Famílias'!$A:$A,0)),"família não cadastrada"))</f>
        <v/>
      </c>
      <c r="R397" s="50" t="n"/>
      <c r="S397" s="50" t="n"/>
      <c r="T397" s="50" t="n"/>
      <c r="U397" s="50" t="n"/>
    </row>
    <row r="398">
      <c r="B398" s="45" t="n"/>
      <c r="C398" s="46" t="n"/>
      <c r="E398" s="47" t="n"/>
      <c r="F398" s="47" t="n"/>
      <c r="G398" s="47" t="n"/>
      <c r="J398" s="48" t="n"/>
      <c r="K398" s="48" t="n"/>
      <c r="N398" s="47" t="n"/>
      <c r="O398" s="47" t="n"/>
      <c r="Q398" s="49">
        <f>IF(A398="","",IFERROR(INDEX('Famílias'!$E:$E,MATCH(A398,'Famílias'!$A:$A,0)),"família não cadastrada"))</f>
        <v/>
      </c>
      <c r="R398" s="50" t="n"/>
      <c r="S398" s="50" t="n"/>
      <c r="T398" s="50" t="n"/>
      <c r="U398" s="50" t="n"/>
    </row>
    <row r="399">
      <c r="B399" s="45" t="n"/>
      <c r="C399" s="46" t="n"/>
      <c r="E399" s="47" t="n"/>
      <c r="F399" s="47" t="n"/>
      <c r="G399" s="47" t="n"/>
      <c r="J399" s="48" t="n"/>
      <c r="K399" s="48" t="n"/>
      <c r="N399" s="47" t="n"/>
      <c r="O399" s="47" t="n"/>
      <c r="Q399" s="49">
        <f>IF(A399="","",IFERROR(INDEX('Famílias'!$E:$E,MATCH(A399,'Famílias'!$A:$A,0)),"família não cadastrada"))</f>
        <v/>
      </c>
      <c r="R399" s="50" t="n"/>
      <c r="S399" s="50" t="n"/>
      <c r="T399" s="50" t="n"/>
      <c r="U399" s="50" t="n"/>
    </row>
    <row r="400">
      <c r="B400" s="45" t="n"/>
      <c r="C400" s="46" t="n"/>
      <c r="E400" s="47" t="n"/>
      <c r="F400" s="47" t="n"/>
      <c r="G400" s="47" t="n"/>
      <c r="J400" s="48" t="n"/>
      <c r="K400" s="48" t="n"/>
      <c r="N400" s="47" t="n"/>
      <c r="O400" s="47" t="n"/>
      <c r="Q400" s="49">
        <f>IF(A400="","",IFERROR(INDEX('Famílias'!$E:$E,MATCH(A400,'Famílias'!$A:$A,0)),"família não cadastrada"))</f>
        <v/>
      </c>
      <c r="R400" s="50" t="n"/>
      <c r="S400" s="50" t="n"/>
      <c r="T400" s="50" t="n"/>
      <c r="U400" s="50" t="n"/>
    </row>
    <row r="401">
      <c r="B401" s="45" t="n"/>
      <c r="C401" s="46" t="n"/>
      <c r="E401" s="47" t="n"/>
      <c r="F401" s="47" t="n"/>
      <c r="G401" s="47" t="n"/>
      <c r="J401" s="48" t="n"/>
      <c r="K401" s="48" t="n"/>
      <c r="N401" s="47" t="n"/>
      <c r="O401" s="47" t="n"/>
      <c r="Q401" s="49">
        <f>IF(A401="","",IFERROR(INDEX('Famílias'!$E:$E,MATCH(A401,'Famílias'!$A:$A,0)),"família não cadastrada"))</f>
        <v/>
      </c>
      <c r="R401" s="50" t="n"/>
      <c r="S401" s="50" t="n"/>
      <c r="T401" s="50" t="n"/>
      <c r="U401" s="50" t="n"/>
    </row>
    <row r="402">
      <c r="B402" s="45" t="n"/>
      <c r="C402" s="46" t="n"/>
      <c r="E402" s="47" t="n"/>
      <c r="F402" s="47" t="n"/>
      <c r="G402" s="47" t="n"/>
      <c r="J402" s="48" t="n"/>
      <c r="K402" s="48" t="n"/>
      <c r="N402" s="47" t="n"/>
      <c r="O402" s="47" t="n"/>
      <c r="Q402" s="49">
        <f>IF(A402="","",IFERROR(INDEX('Famílias'!$E:$E,MATCH(A402,'Famílias'!$A:$A,0)),"família não cadastrada"))</f>
        <v/>
      </c>
      <c r="R402" s="50" t="n"/>
      <c r="S402" s="50" t="n"/>
      <c r="T402" s="50" t="n"/>
      <c r="U402" s="50" t="n"/>
    </row>
    <row r="403">
      <c r="B403" s="45" t="n"/>
      <c r="C403" s="46" t="n"/>
      <c r="E403" s="47" t="n"/>
      <c r="F403" s="47" t="n"/>
      <c r="G403" s="47" t="n"/>
      <c r="J403" s="48" t="n"/>
      <c r="K403" s="48" t="n"/>
      <c r="N403" s="47" t="n"/>
      <c r="O403" s="47" t="n"/>
      <c r="Q403" s="49">
        <f>IF(A403="","",IFERROR(INDEX('Famílias'!$E:$E,MATCH(A403,'Famílias'!$A:$A,0)),"família não cadastrada"))</f>
        <v/>
      </c>
      <c r="R403" s="50" t="n"/>
      <c r="S403" s="50" t="n"/>
      <c r="T403" s="50" t="n"/>
      <c r="U403" s="50" t="n"/>
    </row>
    <row r="404">
      <c r="B404" s="45" t="n"/>
      <c r="C404" s="46" t="n"/>
      <c r="E404" s="47" t="n"/>
      <c r="F404" s="47" t="n"/>
      <c r="G404" s="47" t="n"/>
      <c r="J404" s="48" t="n"/>
      <c r="K404" s="48" t="n"/>
      <c r="N404" s="47" t="n"/>
      <c r="O404" s="47" t="n"/>
      <c r="Q404" s="49">
        <f>IF(A404="","",IFERROR(INDEX('Famílias'!$E:$E,MATCH(A404,'Famílias'!$A:$A,0)),"família não cadastrada"))</f>
        <v/>
      </c>
      <c r="R404" s="50" t="n"/>
      <c r="S404" s="50" t="n"/>
      <c r="T404" s="50" t="n"/>
      <c r="U404" s="50" t="n"/>
    </row>
    <row r="405">
      <c r="B405" s="45" t="n"/>
      <c r="C405" s="46" t="n"/>
      <c r="E405" s="47" t="n"/>
      <c r="F405" s="47" t="n"/>
      <c r="G405" s="47" t="n"/>
      <c r="J405" s="48" t="n"/>
      <c r="K405" s="48" t="n"/>
      <c r="N405" s="47" t="n"/>
      <c r="O405" s="47" t="n"/>
      <c r="Q405" s="49">
        <f>IF(A405="","",IFERROR(INDEX('Famílias'!$E:$E,MATCH(A405,'Famílias'!$A:$A,0)),"família não cadastrada"))</f>
        <v/>
      </c>
      <c r="R405" s="50" t="n"/>
      <c r="S405" s="50" t="n"/>
      <c r="T405" s="50" t="n"/>
      <c r="U405" s="50" t="n"/>
    </row>
    <row r="406">
      <c r="B406" s="45" t="n"/>
      <c r="C406" s="46" t="n"/>
      <c r="E406" s="47" t="n"/>
      <c r="F406" s="47" t="n"/>
      <c r="G406" s="47" t="n"/>
      <c r="J406" s="48" t="n"/>
      <c r="K406" s="48" t="n"/>
      <c r="N406" s="47" t="n"/>
      <c r="O406" s="47" t="n"/>
      <c r="Q406" s="49">
        <f>IF(A406="","",IFERROR(INDEX('Famílias'!$E:$E,MATCH(A406,'Famílias'!$A:$A,0)),"família não cadastrada"))</f>
        <v/>
      </c>
      <c r="R406" s="50" t="n"/>
      <c r="S406" s="50" t="n"/>
      <c r="T406" s="50" t="n"/>
      <c r="U406" s="50" t="n"/>
    </row>
    <row r="407">
      <c r="B407" s="45" t="n"/>
      <c r="C407" s="46" t="n"/>
      <c r="E407" s="47" t="n"/>
      <c r="F407" s="47" t="n"/>
      <c r="G407" s="47" t="n"/>
      <c r="J407" s="48" t="n"/>
      <c r="K407" s="48" t="n"/>
      <c r="N407" s="47" t="n"/>
      <c r="O407" s="47" t="n"/>
      <c r="Q407" s="49">
        <f>IF(A407="","",IFERROR(INDEX('Famílias'!$E:$E,MATCH(A407,'Famílias'!$A:$A,0)),"família não cadastrada"))</f>
        <v/>
      </c>
      <c r="R407" s="50" t="n"/>
      <c r="S407" s="50" t="n"/>
      <c r="T407" s="50" t="n"/>
      <c r="U407" s="50" t="n"/>
    </row>
    <row r="408">
      <c r="B408" s="45" t="n"/>
      <c r="C408" s="46" t="n"/>
      <c r="E408" s="47" t="n"/>
      <c r="F408" s="47" t="n"/>
      <c r="G408" s="47" t="n"/>
      <c r="J408" s="48" t="n"/>
      <c r="K408" s="48" t="n"/>
      <c r="N408" s="47" t="n"/>
      <c r="O408" s="47" t="n"/>
      <c r="Q408" s="49">
        <f>IF(A408="","",IFERROR(INDEX('Famílias'!$E:$E,MATCH(A408,'Famílias'!$A:$A,0)),"família não cadastrada"))</f>
        <v/>
      </c>
      <c r="R408" s="50" t="n"/>
      <c r="S408" s="50" t="n"/>
      <c r="T408" s="50" t="n"/>
      <c r="U408" s="50" t="n"/>
    </row>
    <row r="409">
      <c r="B409" s="45" t="n"/>
      <c r="C409" s="46" t="n"/>
      <c r="E409" s="47" t="n"/>
      <c r="F409" s="47" t="n"/>
      <c r="G409" s="47" t="n"/>
      <c r="J409" s="48" t="n"/>
      <c r="K409" s="48" t="n"/>
      <c r="N409" s="47" t="n"/>
      <c r="O409" s="47" t="n"/>
      <c r="Q409" s="49">
        <f>IF(A409="","",IFERROR(INDEX('Famílias'!$E:$E,MATCH(A409,'Famílias'!$A:$A,0)),"família não cadastrada"))</f>
        <v/>
      </c>
      <c r="R409" s="50" t="n"/>
      <c r="S409" s="50" t="n"/>
      <c r="T409" s="50" t="n"/>
      <c r="U409" s="50" t="n"/>
    </row>
    <row r="410">
      <c r="B410" s="45" t="n"/>
      <c r="C410" s="46" t="n"/>
      <c r="E410" s="47" t="n"/>
      <c r="F410" s="47" t="n"/>
      <c r="G410" s="47" t="n"/>
      <c r="J410" s="48" t="n"/>
      <c r="K410" s="48" t="n"/>
      <c r="N410" s="47" t="n"/>
      <c r="O410" s="47" t="n"/>
      <c r="Q410" s="49">
        <f>IF(A410="","",IFERROR(INDEX('Famílias'!$E:$E,MATCH(A410,'Famílias'!$A:$A,0)),"família não cadastrada"))</f>
        <v/>
      </c>
      <c r="R410" s="50" t="n"/>
      <c r="S410" s="50" t="n"/>
      <c r="T410" s="50" t="n"/>
      <c r="U410" s="50" t="n"/>
    </row>
    <row r="411">
      <c r="B411" s="45" t="n"/>
      <c r="C411" s="46" t="n"/>
      <c r="E411" s="47" t="n"/>
      <c r="F411" s="47" t="n"/>
      <c r="G411" s="47" t="n"/>
      <c r="J411" s="48" t="n"/>
      <c r="K411" s="48" t="n"/>
      <c r="N411" s="47" t="n"/>
      <c r="O411" s="47" t="n"/>
      <c r="Q411" s="49">
        <f>IF(A411="","",IFERROR(INDEX('Famílias'!$E:$E,MATCH(A411,'Famílias'!$A:$A,0)),"família não cadastrada"))</f>
        <v/>
      </c>
      <c r="R411" s="50" t="n"/>
      <c r="S411" s="50" t="n"/>
      <c r="T411" s="50" t="n"/>
      <c r="U411" s="50" t="n"/>
    </row>
    <row r="412">
      <c r="B412" s="45" t="n"/>
      <c r="C412" s="46" t="n"/>
      <c r="E412" s="47" t="n"/>
      <c r="F412" s="47" t="n"/>
      <c r="G412" s="47" t="n"/>
      <c r="J412" s="48" t="n"/>
      <c r="K412" s="48" t="n"/>
      <c r="N412" s="47" t="n"/>
      <c r="O412" s="47" t="n"/>
      <c r="Q412" s="49">
        <f>IF(A412="","",IFERROR(INDEX('Famílias'!$E:$E,MATCH(A412,'Famílias'!$A:$A,0)),"família não cadastrada"))</f>
        <v/>
      </c>
      <c r="R412" s="50" t="n"/>
      <c r="S412" s="50" t="n"/>
      <c r="T412" s="50" t="n"/>
      <c r="U412" s="50" t="n"/>
    </row>
    <row r="413">
      <c r="B413" s="45" t="n"/>
      <c r="C413" s="46" t="n"/>
      <c r="E413" s="47" t="n"/>
      <c r="F413" s="47" t="n"/>
      <c r="G413" s="47" t="n"/>
      <c r="J413" s="48" t="n"/>
      <c r="K413" s="48" t="n"/>
      <c r="N413" s="47" t="n"/>
      <c r="O413" s="47" t="n"/>
      <c r="Q413" s="49">
        <f>IF(A413="","",IFERROR(INDEX('Famílias'!$E:$E,MATCH(A413,'Famílias'!$A:$A,0)),"família não cadastrada"))</f>
        <v/>
      </c>
      <c r="R413" s="50" t="n"/>
      <c r="S413" s="50" t="n"/>
      <c r="T413" s="50" t="n"/>
      <c r="U413" s="50" t="n"/>
    </row>
    <row r="414">
      <c r="B414" s="45" t="n"/>
      <c r="C414" s="46" t="n"/>
      <c r="E414" s="47" t="n"/>
      <c r="F414" s="47" t="n"/>
      <c r="G414" s="47" t="n"/>
      <c r="J414" s="48" t="n"/>
      <c r="K414" s="48" t="n"/>
      <c r="N414" s="47" t="n"/>
      <c r="O414" s="47" t="n"/>
      <c r="Q414" s="49">
        <f>IF(A414="","",IFERROR(INDEX('Famílias'!$E:$E,MATCH(A414,'Famílias'!$A:$A,0)),"família não cadastrada"))</f>
        <v/>
      </c>
      <c r="R414" s="50" t="n"/>
      <c r="S414" s="50" t="n"/>
      <c r="T414" s="50" t="n"/>
      <c r="U414" s="50" t="n"/>
    </row>
    <row r="415">
      <c r="B415" s="45" t="n"/>
      <c r="C415" s="46" t="n"/>
      <c r="E415" s="47" t="n"/>
      <c r="F415" s="47" t="n"/>
      <c r="G415" s="47" t="n"/>
      <c r="J415" s="48" t="n"/>
      <c r="K415" s="48" t="n"/>
      <c r="N415" s="47" t="n"/>
      <c r="O415" s="47" t="n"/>
      <c r="Q415" s="49">
        <f>IF(A415="","",IFERROR(INDEX('Famílias'!$E:$E,MATCH(A415,'Famílias'!$A:$A,0)),"família não cadastrada"))</f>
        <v/>
      </c>
      <c r="R415" s="50" t="n"/>
      <c r="S415" s="50" t="n"/>
      <c r="T415" s="50" t="n"/>
      <c r="U415" s="50" t="n"/>
    </row>
    <row r="416">
      <c r="B416" s="45" t="n"/>
      <c r="C416" s="46" t="n"/>
      <c r="E416" s="47" t="n"/>
      <c r="F416" s="47" t="n"/>
      <c r="G416" s="47" t="n"/>
      <c r="J416" s="48" t="n"/>
      <c r="K416" s="48" t="n"/>
      <c r="N416" s="47" t="n"/>
      <c r="O416" s="47" t="n"/>
      <c r="Q416" s="49">
        <f>IF(A416="","",IFERROR(INDEX('Famílias'!$E:$E,MATCH(A416,'Famílias'!$A:$A,0)),"família não cadastrada"))</f>
        <v/>
      </c>
      <c r="R416" s="50" t="n"/>
      <c r="S416" s="50" t="n"/>
      <c r="T416" s="50" t="n"/>
      <c r="U416" s="50" t="n"/>
    </row>
    <row r="417">
      <c r="B417" s="45" t="n"/>
      <c r="C417" s="46" t="n"/>
      <c r="E417" s="47" t="n"/>
      <c r="F417" s="47" t="n"/>
      <c r="G417" s="47" t="n"/>
      <c r="J417" s="48" t="n"/>
      <c r="K417" s="48" t="n"/>
      <c r="N417" s="47" t="n"/>
      <c r="O417" s="47" t="n"/>
      <c r="Q417" s="49">
        <f>IF(A417="","",IFERROR(INDEX('Famílias'!$E:$E,MATCH(A417,'Famílias'!$A:$A,0)),"família não cadastrada"))</f>
        <v/>
      </c>
      <c r="R417" s="50" t="n"/>
      <c r="S417" s="50" t="n"/>
      <c r="T417" s="50" t="n"/>
      <c r="U417" s="50" t="n"/>
    </row>
    <row r="418">
      <c r="B418" s="45" t="n"/>
      <c r="C418" s="46" t="n"/>
      <c r="E418" s="47" t="n"/>
      <c r="F418" s="47" t="n"/>
      <c r="G418" s="47" t="n"/>
      <c r="J418" s="48" t="n"/>
      <c r="K418" s="48" t="n"/>
      <c r="N418" s="47" t="n"/>
      <c r="O418" s="47" t="n"/>
      <c r="Q418" s="49">
        <f>IF(A418="","",IFERROR(INDEX('Famílias'!$E:$E,MATCH(A418,'Famílias'!$A:$A,0)),"família não cadastrada"))</f>
        <v/>
      </c>
      <c r="R418" s="50" t="n"/>
      <c r="S418" s="50" t="n"/>
      <c r="T418" s="50" t="n"/>
      <c r="U418" s="50" t="n"/>
    </row>
    <row r="419">
      <c r="B419" s="45" t="n"/>
      <c r="C419" s="46" t="n"/>
      <c r="E419" s="47" t="n"/>
      <c r="F419" s="47" t="n"/>
      <c r="G419" s="47" t="n"/>
      <c r="J419" s="48" t="n"/>
      <c r="K419" s="48" t="n"/>
      <c r="N419" s="47" t="n"/>
      <c r="O419" s="47" t="n"/>
      <c r="Q419" s="49">
        <f>IF(A419="","",IFERROR(INDEX('Famílias'!$E:$E,MATCH(A419,'Famílias'!$A:$A,0)),"família não cadastrada"))</f>
        <v/>
      </c>
      <c r="R419" s="50" t="n"/>
      <c r="S419" s="50" t="n"/>
      <c r="T419" s="50" t="n"/>
      <c r="U419" s="50" t="n"/>
    </row>
    <row r="420">
      <c r="B420" s="45" t="n"/>
      <c r="C420" s="46" t="n"/>
      <c r="E420" s="47" t="n"/>
      <c r="F420" s="47" t="n"/>
      <c r="G420" s="47" t="n"/>
      <c r="J420" s="48" t="n"/>
      <c r="K420" s="48" t="n"/>
      <c r="N420" s="47" t="n"/>
      <c r="O420" s="47" t="n"/>
      <c r="Q420" s="49">
        <f>IF(A420="","",IFERROR(INDEX('Famílias'!$E:$E,MATCH(A420,'Famílias'!$A:$A,0)),"família não cadastrada"))</f>
        <v/>
      </c>
      <c r="R420" s="50" t="n"/>
      <c r="S420" s="50" t="n"/>
      <c r="T420" s="50" t="n"/>
      <c r="U420" s="50" t="n"/>
    </row>
    <row r="421">
      <c r="B421" s="45" t="n"/>
      <c r="C421" s="46" t="n"/>
      <c r="E421" s="47" t="n"/>
      <c r="F421" s="47" t="n"/>
      <c r="G421" s="47" t="n"/>
      <c r="J421" s="48" t="n"/>
      <c r="K421" s="48" t="n"/>
      <c r="N421" s="47" t="n"/>
      <c r="O421" s="47" t="n"/>
      <c r="Q421" s="49">
        <f>IF(A421="","",IFERROR(INDEX('Famílias'!$E:$E,MATCH(A421,'Famílias'!$A:$A,0)),"família não cadastrada"))</f>
        <v/>
      </c>
      <c r="R421" s="50" t="n"/>
      <c r="S421" s="50" t="n"/>
      <c r="T421" s="50" t="n"/>
      <c r="U421" s="50" t="n"/>
    </row>
    <row r="422">
      <c r="B422" s="45" t="n"/>
      <c r="C422" s="46" t="n"/>
      <c r="E422" s="47" t="n"/>
      <c r="F422" s="47" t="n"/>
      <c r="G422" s="47" t="n"/>
      <c r="J422" s="48" t="n"/>
      <c r="K422" s="48" t="n"/>
      <c r="N422" s="47" t="n"/>
      <c r="O422" s="47" t="n"/>
      <c r="Q422" s="49">
        <f>IF(A422="","",IFERROR(INDEX('Famílias'!$E:$E,MATCH(A422,'Famílias'!$A:$A,0)),"família não cadastrada"))</f>
        <v/>
      </c>
      <c r="R422" s="50" t="n"/>
      <c r="S422" s="50" t="n"/>
      <c r="T422" s="50" t="n"/>
      <c r="U422" s="50" t="n"/>
    </row>
    <row r="423">
      <c r="B423" s="45" t="n"/>
      <c r="C423" s="46" t="n"/>
      <c r="E423" s="47" t="n"/>
      <c r="F423" s="47" t="n"/>
      <c r="G423" s="47" t="n"/>
      <c r="J423" s="48" t="n"/>
      <c r="K423" s="48" t="n"/>
      <c r="N423" s="47" t="n"/>
      <c r="O423" s="47" t="n"/>
      <c r="Q423" s="49">
        <f>IF(A423="","",IFERROR(INDEX('Famílias'!$E:$E,MATCH(A423,'Famílias'!$A:$A,0)),"família não cadastrada"))</f>
        <v/>
      </c>
      <c r="R423" s="50" t="n"/>
      <c r="S423" s="50" t="n"/>
      <c r="T423" s="50" t="n"/>
      <c r="U423" s="50" t="n"/>
    </row>
    <row r="424">
      <c r="B424" s="45" t="n"/>
      <c r="C424" s="46" t="n"/>
      <c r="E424" s="47" t="n"/>
      <c r="F424" s="47" t="n"/>
      <c r="G424" s="47" t="n"/>
      <c r="J424" s="48" t="n"/>
      <c r="K424" s="48" t="n"/>
      <c r="N424" s="47" t="n"/>
      <c r="O424" s="47" t="n"/>
      <c r="Q424" s="49">
        <f>IF(A424="","",IFERROR(INDEX('Famílias'!$E:$E,MATCH(A424,'Famílias'!$A:$A,0)),"família não cadastrada"))</f>
        <v/>
      </c>
      <c r="R424" s="50" t="n"/>
      <c r="S424" s="50" t="n"/>
      <c r="T424" s="50" t="n"/>
      <c r="U424" s="50" t="n"/>
    </row>
    <row r="425">
      <c r="B425" s="45" t="n"/>
      <c r="C425" s="46" t="n"/>
      <c r="E425" s="47" t="n"/>
      <c r="F425" s="47" t="n"/>
      <c r="G425" s="47" t="n"/>
      <c r="J425" s="48" t="n"/>
      <c r="K425" s="48" t="n"/>
      <c r="N425" s="47" t="n"/>
      <c r="O425" s="47" t="n"/>
      <c r="Q425" s="49">
        <f>IF(A425="","",IFERROR(INDEX('Famílias'!$E:$E,MATCH(A425,'Famílias'!$A:$A,0)),"família não cadastrada"))</f>
        <v/>
      </c>
      <c r="R425" s="50" t="n"/>
      <c r="S425" s="50" t="n"/>
      <c r="T425" s="50" t="n"/>
      <c r="U425" s="50" t="n"/>
    </row>
    <row r="426">
      <c r="B426" s="45" t="n"/>
      <c r="C426" s="46" t="n"/>
      <c r="E426" s="47" t="n"/>
      <c r="F426" s="47" t="n"/>
      <c r="G426" s="47" t="n"/>
      <c r="J426" s="48" t="n"/>
      <c r="K426" s="48" t="n"/>
      <c r="N426" s="47" t="n"/>
      <c r="O426" s="47" t="n"/>
      <c r="Q426" s="49">
        <f>IF(A426="","",IFERROR(INDEX('Famílias'!$E:$E,MATCH(A426,'Famílias'!$A:$A,0)),"família não cadastrada"))</f>
        <v/>
      </c>
      <c r="R426" s="50" t="n"/>
      <c r="S426" s="50" t="n"/>
      <c r="T426" s="50" t="n"/>
      <c r="U426" s="50" t="n"/>
    </row>
    <row r="427">
      <c r="B427" s="45" t="n"/>
      <c r="C427" s="46" t="n"/>
      <c r="E427" s="47" t="n"/>
      <c r="F427" s="47" t="n"/>
      <c r="G427" s="47" t="n"/>
      <c r="J427" s="48" t="n"/>
      <c r="K427" s="48" t="n"/>
      <c r="N427" s="47" t="n"/>
      <c r="O427" s="47" t="n"/>
      <c r="Q427" s="49">
        <f>IF(A427="","",IFERROR(INDEX('Famílias'!$E:$E,MATCH(A427,'Famílias'!$A:$A,0)),"família não cadastrada"))</f>
        <v/>
      </c>
      <c r="R427" s="50" t="n"/>
      <c r="S427" s="50" t="n"/>
      <c r="T427" s="50" t="n"/>
      <c r="U427" s="50" t="n"/>
    </row>
    <row r="428">
      <c r="B428" s="45" t="n"/>
      <c r="C428" s="46" t="n"/>
      <c r="E428" s="47" t="n"/>
      <c r="F428" s="47" t="n"/>
      <c r="G428" s="47" t="n"/>
      <c r="J428" s="48" t="n"/>
      <c r="K428" s="48" t="n"/>
      <c r="N428" s="47" t="n"/>
      <c r="O428" s="47" t="n"/>
      <c r="Q428" s="49">
        <f>IF(A428="","",IFERROR(INDEX('Famílias'!$E:$E,MATCH(A428,'Famílias'!$A:$A,0)),"família não cadastrada"))</f>
        <v/>
      </c>
      <c r="R428" s="50" t="n"/>
      <c r="S428" s="50" t="n"/>
      <c r="T428" s="50" t="n"/>
      <c r="U428" s="50" t="n"/>
    </row>
    <row r="429">
      <c r="B429" s="45" t="n"/>
      <c r="C429" s="46" t="n"/>
      <c r="E429" s="47" t="n"/>
      <c r="F429" s="47" t="n"/>
      <c r="G429" s="47" t="n"/>
      <c r="J429" s="48" t="n"/>
      <c r="K429" s="48" t="n"/>
      <c r="N429" s="47" t="n"/>
      <c r="O429" s="47" t="n"/>
      <c r="Q429" s="49">
        <f>IF(A429="","",IFERROR(INDEX('Famílias'!$E:$E,MATCH(A429,'Famílias'!$A:$A,0)),"família não cadastrada"))</f>
        <v/>
      </c>
      <c r="R429" s="50" t="n"/>
      <c r="S429" s="50" t="n"/>
      <c r="T429" s="50" t="n"/>
      <c r="U429" s="50" t="n"/>
    </row>
    <row r="430">
      <c r="B430" s="45" t="n"/>
      <c r="C430" s="46" t="n"/>
      <c r="E430" s="47" t="n"/>
      <c r="F430" s="47" t="n"/>
      <c r="G430" s="47" t="n"/>
      <c r="J430" s="48" t="n"/>
      <c r="K430" s="48" t="n"/>
      <c r="N430" s="47" t="n"/>
      <c r="O430" s="47" t="n"/>
      <c r="Q430" s="49">
        <f>IF(A430="","",IFERROR(INDEX('Famílias'!$E:$E,MATCH(A430,'Famílias'!$A:$A,0)),"família não cadastrada"))</f>
        <v/>
      </c>
      <c r="R430" s="50" t="n"/>
      <c r="S430" s="50" t="n"/>
      <c r="T430" s="50" t="n"/>
      <c r="U430" s="50" t="n"/>
    </row>
    <row r="431">
      <c r="B431" s="45" t="n"/>
      <c r="C431" s="46" t="n"/>
      <c r="E431" s="47" t="n"/>
      <c r="F431" s="47" t="n"/>
      <c r="G431" s="47" t="n"/>
      <c r="J431" s="48" t="n"/>
      <c r="K431" s="48" t="n"/>
      <c r="N431" s="47" t="n"/>
      <c r="O431" s="47" t="n"/>
      <c r="Q431" s="49">
        <f>IF(A431="","",IFERROR(INDEX('Famílias'!$E:$E,MATCH(A431,'Famílias'!$A:$A,0)),"família não cadastrada"))</f>
        <v/>
      </c>
      <c r="R431" s="50" t="n"/>
      <c r="S431" s="50" t="n"/>
      <c r="T431" s="50" t="n"/>
      <c r="U431" s="50" t="n"/>
    </row>
    <row r="432">
      <c r="B432" s="45" t="n"/>
      <c r="C432" s="46" t="n"/>
      <c r="E432" s="47" t="n"/>
      <c r="F432" s="47" t="n"/>
      <c r="G432" s="47" t="n"/>
      <c r="J432" s="48" t="n"/>
      <c r="K432" s="48" t="n"/>
      <c r="N432" s="47" t="n"/>
      <c r="O432" s="47" t="n"/>
      <c r="Q432" s="49">
        <f>IF(A432="","",IFERROR(INDEX('Famílias'!$E:$E,MATCH(A432,'Famílias'!$A:$A,0)),"família não cadastrada"))</f>
        <v/>
      </c>
      <c r="R432" s="50" t="n"/>
      <c r="S432" s="50" t="n"/>
      <c r="T432" s="50" t="n"/>
      <c r="U432" s="50" t="n"/>
    </row>
    <row r="433">
      <c r="B433" s="45" t="n"/>
      <c r="C433" s="46" t="n"/>
      <c r="E433" s="47" t="n"/>
      <c r="F433" s="47" t="n"/>
      <c r="G433" s="47" t="n"/>
      <c r="J433" s="48" t="n"/>
      <c r="K433" s="48" t="n"/>
      <c r="N433" s="47" t="n"/>
      <c r="O433" s="47" t="n"/>
      <c r="Q433" s="49">
        <f>IF(A433="","",IFERROR(INDEX('Famílias'!$E:$E,MATCH(A433,'Famílias'!$A:$A,0)),"família não cadastrada"))</f>
        <v/>
      </c>
      <c r="R433" s="50" t="n"/>
      <c r="S433" s="50" t="n"/>
      <c r="T433" s="50" t="n"/>
      <c r="U433" s="50" t="n"/>
    </row>
    <row r="434">
      <c r="B434" s="45" t="n"/>
      <c r="C434" s="46" t="n"/>
      <c r="E434" s="47" t="n"/>
      <c r="F434" s="47" t="n"/>
      <c r="G434" s="47" t="n"/>
      <c r="J434" s="48" t="n"/>
      <c r="K434" s="48" t="n"/>
      <c r="N434" s="47" t="n"/>
      <c r="O434" s="47" t="n"/>
      <c r="Q434" s="49">
        <f>IF(A434="","",IFERROR(INDEX('Famílias'!$E:$E,MATCH(A434,'Famílias'!$A:$A,0)),"família não cadastrada"))</f>
        <v/>
      </c>
      <c r="R434" s="50" t="n"/>
      <c r="S434" s="50" t="n"/>
      <c r="T434" s="50" t="n"/>
      <c r="U434" s="50" t="n"/>
    </row>
    <row r="435">
      <c r="B435" s="45" t="n"/>
      <c r="C435" s="46" t="n"/>
      <c r="E435" s="47" t="n"/>
      <c r="F435" s="47" t="n"/>
      <c r="G435" s="47" t="n"/>
      <c r="J435" s="48" t="n"/>
      <c r="K435" s="48" t="n"/>
      <c r="N435" s="47" t="n"/>
      <c r="O435" s="47" t="n"/>
      <c r="Q435" s="49">
        <f>IF(A435="","",IFERROR(INDEX('Famílias'!$E:$E,MATCH(A435,'Famílias'!$A:$A,0)),"família não cadastrada"))</f>
        <v/>
      </c>
      <c r="R435" s="50" t="n"/>
      <c r="S435" s="50" t="n"/>
      <c r="T435" s="50" t="n"/>
      <c r="U435" s="50" t="n"/>
    </row>
    <row r="436">
      <c r="B436" s="45" t="n"/>
      <c r="C436" s="46" t="n"/>
      <c r="E436" s="47" t="n"/>
      <c r="F436" s="47" t="n"/>
      <c r="G436" s="47" t="n"/>
      <c r="J436" s="48" t="n"/>
      <c r="K436" s="48" t="n"/>
      <c r="N436" s="47" t="n"/>
      <c r="O436" s="47" t="n"/>
      <c r="Q436" s="49">
        <f>IF(A436="","",IFERROR(INDEX('Famílias'!$E:$E,MATCH(A436,'Famílias'!$A:$A,0)),"família não cadastrada"))</f>
        <v/>
      </c>
      <c r="R436" s="50" t="n"/>
      <c r="S436" s="50" t="n"/>
      <c r="T436" s="50" t="n"/>
      <c r="U436" s="50" t="n"/>
    </row>
    <row r="437">
      <c r="B437" s="45" t="n"/>
      <c r="C437" s="46" t="n"/>
      <c r="E437" s="47" t="n"/>
      <c r="F437" s="47" t="n"/>
      <c r="G437" s="47" t="n"/>
      <c r="J437" s="48" t="n"/>
      <c r="K437" s="48" t="n"/>
      <c r="N437" s="47" t="n"/>
      <c r="O437" s="47" t="n"/>
      <c r="Q437" s="49">
        <f>IF(A437="","",IFERROR(INDEX('Famílias'!$E:$E,MATCH(A437,'Famílias'!$A:$A,0)),"família não cadastrada"))</f>
        <v/>
      </c>
      <c r="R437" s="50" t="n"/>
      <c r="S437" s="50" t="n"/>
      <c r="T437" s="50" t="n"/>
      <c r="U437" s="50" t="n"/>
    </row>
    <row r="438">
      <c r="B438" s="45" t="n"/>
      <c r="C438" s="46" t="n"/>
      <c r="E438" s="47" t="n"/>
      <c r="F438" s="47" t="n"/>
      <c r="G438" s="47" t="n"/>
      <c r="J438" s="48" t="n"/>
      <c r="K438" s="48" t="n"/>
      <c r="N438" s="47" t="n"/>
      <c r="O438" s="47" t="n"/>
      <c r="Q438" s="49">
        <f>IF(A438="","",IFERROR(INDEX('Famílias'!$E:$E,MATCH(A438,'Famílias'!$A:$A,0)),"família não cadastrada"))</f>
        <v/>
      </c>
      <c r="R438" s="50" t="n"/>
      <c r="S438" s="50" t="n"/>
      <c r="T438" s="50" t="n"/>
      <c r="U438" s="50" t="n"/>
    </row>
    <row r="439">
      <c r="B439" s="45" t="n"/>
      <c r="C439" s="46" t="n"/>
      <c r="E439" s="47" t="n"/>
      <c r="F439" s="47" t="n"/>
      <c r="G439" s="47" t="n"/>
      <c r="J439" s="48" t="n"/>
      <c r="K439" s="48" t="n"/>
      <c r="N439" s="47" t="n"/>
      <c r="O439" s="47" t="n"/>
      <c r="Q439" s="49">
        <f>IF(A439="","",IFERROR(INDEX('Famílias'!$E:$E,MATCH(A439,'Famílias'!$A:$A,0)),"família não cadastrada"))</f>
        <v/>
      </c>
      <c r="R439" s="50" t="n"/>
      <c r="S439" s="50" t="n"/>
      <c r="T439" s="50" t="n"/>
      <c r="U439" s="50" t="n"/>
    </row>
    <row r="440">
      <c r="B440" s="45" t="n"/>
      <c r="C440" s="46" t="n"/>
      <c r="E440" s="47" t="n"/>
      <c r="F440" s="47" t="n"/>
      <c r="G440" s="47" t="n"/>
      <c r="J440" s="48" t="n"/>
      <c r="K440" s="48" t="n"/>
      <c r="N440" s="47" t="n"/>
      <c r="O440" s="47" t="n"/>
      <c r="Q440" s="49">
        <f>IF(A440="","",IFERROR(INDEX('Famílias'!$E:$E,MATCH(A440,'Famílias'!$A:$A,0)),"família não cadastrada"))</f>
        <v/>
      </c>
      <c r="R440" s="50" t="n"/>
      <c r="S440" s="50" t="n"/>
      <c r="T440" s="50" t="n"/>
      <c r="U440" s="50" t="n"/>
    </row>
    <row r="441">
      <c r="B441" s="45" t="n"/>
      <c r="C441" s="46" t="n"/>
      <c r="E441" s="47" t="n"/>
      <c r="F441" s="47" t="n"/>
      <c r="G441" s="47" t="n"/>
      <c r="J441" s="48" t="n"/>
      <c r="K441" s="48" t="n"/>
      <c r="N441" s="47" t="n"/>
      <c r="O441" s="47" t="n"/>
      <c r="Q441" s="49">
        <f>IF(A441="","",IFERROR(INDEX('Famílias'!$E:$E,MATCH(A441,'Famílias'!$A:$A,0)),"família não cadastrada"))</f>
        <v/>
      </c>
      <c r="R441" s="50" t="n"/>
      <c r="S441" s="50" t="n"/>
      <c r="T441" s="50" t="n"/>
      <c r="U441" s="50" t="n"/>
    </row>
    <row r="442">
      <c r="B442" s="45" t="n"/>
      <c r="C442" s="46" t="n"/>
      <c r="E442" s="47" t="n"/>
      <c r="F442" s="47" t="n"/>
      <c r="G442" s="47" t="n"/>
      <c r="J442" s="48" t="n"/>
      <c r="K442" s="48" t="n"/>
      <c r="N442" s="47" t="n"/>
      <c r="O442" s="47" t="n"/>
      <c r="Q442" s="49">
        <f>IF(A442="","",IFERROR(INDEX('Famílias'!$E:$E,MATCH(A442,'Famílias'!$A:$A,0)),"família não cadastrada"))</f>
        <v/>
      </c>
      <c r="R442" s="50" t="n"/>
      <c r="S442" s="50" t="n"/>
      <c r="T442" s="50" t="n"/>
      <c r="U442" s="50" t="n"/>
    </row>
    <row r="443">
      <c r="B443" s="45" t="n"/>
      <c r="C443" s="46" t="n"/>
      <c r="E443" s="47" t="n"/>
      <c r="F443" s="47" t="n"/>
      <c r="G443" s="47" t="n"/>
      <c r="J443" s="48" t="n"/>
      <c r="K443" s="48" t="n"/>
      <c r="N443" s="47" t="n"/>
      <c r="O443" s="47" t="n"/>
      <c r="Q443" s="49">
        <f>IF(A443="","",IFERROR(INDEX('Famílias'!$E:$E,MATCH(A443,'Famílias'!$A:$A,0)),"família não cadastrada"))</f>
        <v/>
      </c>
      <c r="R443" s="50" t="n"/>
      <c r="S443" s="50" t="n"/>
      <c r="T443" s="50" t="n"/>
      <c r="U443" s="50" t="n"/>
    </row>
    <row r="444">
      <c r="B444" s="45" t="n"/>
      <c r="C444" s="46" t="n"/>
      <c r="E444" s="47" t="n"/>
      <c r="F444" s="47" t="n"/>
      <c r="G444" s="47" t="n"/>
      <c r="J444" s="48" t="n"/>
      <c r="K444" s="48" t="n"/>
      <c r="N444" s="47" t="n"/>
      <c r="O444" s="47" t="n"/>
      <c r="Q444" s="49">
        <f>IF(A444="","",IFERROR(INDEX('Famílias'!$E:$E,MATCH(A444,'Famílias'!$A:$A,0)),"família não cadastrada"))</f>
        <v/>
      </c>
      <c r="R444" s="50" t="n"/>
      <c r="S444" s="50" t="n"/>
      <c r="T444" s="50" t="n"/>
      <c r="U444" s="50" t="n"/>
    </row>
    <row r="445">
      <c r="B445" s="45" t="n"/>
      <c r="C445" s="46" t="n"/>
      <c r="E445" s="47" t="n"/>
      <c r="F445" s="47" t="n"/>
      <c r="G445" s="47" t="n"/>
      <c r="J445" s="48" t="n"/>
      <c r="K445" s="48" t="n"/>
      <c r="N445" s="47" t="n"/>
      <c r="O445" s="47" t="n"/>
      <c r="Q445" s="49">
        <f>IF(A445="","",IFERROR(INDEX('Famílias'!$E:$E,MATCH(A445,'Famílias'!$A:$A,0)),"família não cadastrada"))</f>
        <v/>
      </c>
      <c r="R445" s="50" t="n"/>
      <c r="S445" s="50" t="n"/>
      <c r="T445" s="50" t="n"/>
      <c r="U445" s="50" t="n"/>
    </row>
    <row r="446">
      <c r="B446" s="45" t="n"/>
      <c r="C446" s="46" t="n"/>
      <c r="E446" s="47" t="n"/>
      <c r="F446" s="47" t="n"/>
      <c r="G446" s="47" t="n"/>
      <c r="J446" s="48" t="n"/>
      <c r="K446" s="48" t="n"/>
      <c r="N446" s="47" t="n"/>
      <c r="O446" s="47" t="n"/>
      <c r="Q446" s="49">
        <f>IF(A446="","",IFERROR(INDEX('Famílias'!$E:$E,MATCH(A446,'Famílias'!$A:$A,0)),"família não cadastrada"))</f>
        <v/>
      </c>
      <c r="R446" s="50" t="n"/>
      <c r="S446" s="50" t="n"/>
      <c r="T446" s="50" t="n"/>
      <c r="U446" s="50" t="n"/>
    </row>
    <row r="447">
      <c r="B447" s="45" t="n"/>
      <c r="C447" s="46" t="n"/>
      <c r="E447" s="47" t="n"/>
      <c r="F447" s="47" t="n"/>
      <c r="G447" s="47" t="n"/>
      <c r="J447" s="48" t="n"/>
      <c r="K447" s="48" t="n"/>
      <c r="N447" s="47" t="n"/>
      <c r="O447" s="47" t="n"/>
      <c r="Q447" s="49">
        <f>IF(A447="","",IFERROR(INDEX('Famílias'!$E:$E,MATCH(A447,'Famílias'!$A:$A,0)),"família não cadastrada"))</f>
        <v/>
      </c>
      <c r="R447" s="50" t="n"/>
      <c r="S447" s="50" t="n"/>
      <c r="T447" s="50" t="n"/>
      <c r="U447" s="50" t="n"/>
    </row>
    <row r="448">
      <c r="B448" s="45" t="n"/>
      <c r="C448" s="46" t="n"/>
      <c r="E448" s="47" t="n"/>
      <c r="F448" s="47" t="n"/>
      <c r="G448" s="47" t="n"/>
      <c r="J448" s="48" t="n"/>
      <c r="K448" s="48" t="n"/>
      <c r="N448" s="47" t="n"/>
      <c r="O448" s="47" t="n"/>
      <c r="Q448" s="49">
        <f>IF(A448="","",IFERROR(INDEX('Famílias'!$E:$E,MATCH(A448,'Famílias'!$A:$A,0)),"família não cadastrada"))</f>
        <v/>
      </c>
      <c r="R448" s="50" t="n"/>
      <c r="S448" s="50" t="n"/>
      <c r="T448" s="50" t="n"/>
      <c r="U448" s="50" t="n"/>
    </row>
    <row r="449">
      <c r="B449" s="45" t="n"/>
      <c r="C449" s="46" t="n"/>
      <c r="E449" s="47" t="n"/>
      <c r="F449" s="47" t="n"/>
      <c r="G449" s="47" t="n"/>
      <c r="J449" s="48" t="n"/>
      <c r="K449" s="48" t="n"/>
      <c r="N449" s="47" t="n"/>
      <c r="O449" s="47" t="n"/>
      <c r="Q449" s="49">
        <f>IF(A449="","",IFERROR(INDEX('Famílias'!$E:$E,MATCH(A449,'Famílias'!$A:$A,0)),"família não cadastrada"))</f>
        <v/>
      </c>
      <c r="R449" s="50" t="n"/>
      <c r="S449" s="50" t="n"/>
      <c r="T449" s="50" t="n"/>
      <c r="U449" s="50" t="n"/>
    </row>
    <row r="450">
      <c r="B450" s="45" t="n"/>
      <c r="C450" s="46" t="n"/>
      <c r="E450" s="47" t="n"/>
      <c r="F450" s="47" t="n"/>
      <c r="G450" s="47" t="n"/>
      <c r="J450" s="48" t="n"/>
      <c r="K450" s="48" t="n"/>
      <c r="N450" s="47" t="n"/>
      <c r="O450" s="47" t="n"/>
      <c r="Q450" s="49">
        <f>IF(A450="","",IFERROR(INDEX('Famílias'!$E:$E,MATCH(A450,'Famílias'!$A:$A,0)),"família não cadastrada"))</f>
        <v/>
      </c>
      <c r="R450" s="50" t="n"/>
      <c r="S450" s="50" t="n"/>
      <c r="T450" s="50" t="n"/>
      <c r="U450" s="50" t="n"/>
    </row>
    <row r="451">
      <c r="B451" s="45" t="n"/>
      <c r="C451" s="46" t="n"/>
      <c r="E451" s="47" t="n"/>
      <c r="F451" s="47" t="n"/>
      <c r="G451" s="47" t="n"/>
      <c r="J451" s="48" t="n"/>
      <c r="K451" s="48" t="n"/>
      <c r="N451" s="47" t="n"/>
      <c r="O451" s="47" t="n"/>
      <c r="Q451" s="49">
        <f>IF(A451="","",IFERROR(INDEX('Famílias'!$E:$E,MATCH(A451,'Famílias'!$A:$A,0)),"família não cadastrada"))</f>
        <v/>
      </c>
      <c r="R451" s="50" t="n"/>
      <c r="S451" s="50" t="n"/>
      <c r="T451" s="50" t="n"/>
      <c r="U451" s="50" t="n"/>
    </row>
    <row r="452">
      <c r="B452" s="45" t="n"/>
      <c r="C452" s="46" t="n"/>
      <c r="E452" s="47" t="n"/>
      <c r="F452" s="47" t="n"/>
      <c r="G452" s="47" t="n"/>
      <c r="J452" s="48" t="n"/>
      <c r="K452" s="48" t="n"/>
      <c r="N452" s="47" t="n"/>
      <c r="O452" s="47" t="n"/>
      <c r="Q452" s="49">
        <f>IF(A452="","",IFERROR(INDEX('Famílias'!$E:$E,MATCH(A452,'Famílias'!$A:$A,0)),"família não cadastrada"))</f>
        <v/>
      </c>
      <c r="R452" s="50" t="n"/>
      <c r="S452" s="50" t="n"/>
      <c r="T452" s="50" t="n"/>
      <c r="U452" s="50" t="n"/>
    </row>
    <row r="453">
      <c r="B453" s="45" t="n"/>
      <c r="C453" s="46" t="n"/>
      <c r="E453" s="47" t="n"/>
      <c r="F453" s="47" t="n"/>
      <c r="G453" s="47" t="n"/>
      <c r="J453" s="48" t="n"/>
      <c r="K453" s="48" t="n"/>
      <c r="N453" s="47" t="n"/>
      <c r="O453" s="47" t="n"/>
      <c r="Q453" s="49">
        <f>IF(A453="","",IFERROR(INDEX('Famílias'!$E:$E,MATCH(A453,'Famílias'!$A:$A,0)),"família não cadastrada"))</f>
        <v/>
      </c>
      <c r="R453" s="50" t="n"/>
      <c r="S453" s="50" t="n"/>
      <c r="T453" s="50" t="n"/>
      <c r="U453" s="50" t="n"/>
    </row>
    <row r="454">
      <c r="B454" s="45" t="n"/>
      <c r="C454" s="46" t="n"/>
      <c r="E454" s="47" t="n"/>
      <c r="F454" s="47" t="n"/>
      <c r="G454" s="47" t="n"/>
      <c r="J454" s="48" t="n"/>
      <c r="K454" s="48" t="n"/>
      <c r="N454" s="47" t="n"/>
      <c r="O454" s="47" t="n"/>
      <c r="Q454" s="49">
        <f>IF(A454="","",IFERROR(INDEX('Famílias'!$E:$E,MATCH(A454,'Famílias'!$A:$A,0)),"família não cadastrada"))</f>
        <v/>
      </c>
      <c r="R454" s="50" t="n"/>
      <c r="S454" s="50" t="n"/>
      <c r="T454" s="50" t="n"/>
      <c r="U454" s="50" t="n"/>
    </row>
    <row r="455">
      <c r="B455" s="45" t="n"/>
      <c r="C455" s="46" t="n"/>
      <c r="E455" s="47" t="n"/>
      <c r="F455" s="47" t="n"/>
      <c r="G455" s="47" t="n"/>
      <c r="J455" s="48" t="n"/>
      <c r="K455" s="48" t="n"/>
      <c r="N455" s="47" t="n"/>
      <c r="O455" s="47" t="n"/>
      <c r="Q455" s="49">
        <f>IF(A455="","",IFERROR(INDEX('Famílias'!$E:$E,MATCH(A455,'Famílias'!$A:$A,0)),"família não cadastrada"))</f>
        <v/>
      </c>
      <c r="R455" s="50" t="n"/>
      <c r="S455" s="50" t="n"/>
      <c r="T455" s="50" t="n"/>
      <c r="U455" s="50" t="n"/>
    </row>
    <row r="456">
      <c r="B456" s="45" t="n"/>
      <c r="C456" s="46" t="n"/>
      <c r="E456" s="47" t="n"/>
      <c r="F456" s="47" t="n"/>
      <c r="G456" s="47" t="n"/>
      <c r="J456" s="48" t="n"/>
      <c r="K456" s="48" t="n"/>
      <c r="N456" s="47" t="n"/>
      <c r="O456" s="47" t="n"/>
      <c r="Q456" s="49">
        <f>IF(A456="","",IFERROR(INDEX('Famílias'!$E:$E,MATCH(A456,'Famílias'!$A:$A,0)),"família não cadastrada"))</f>
        <v/>
      </c>
      <c r="R456" s="50" t="n"/>
      <c r="S456" s="50" t="n"/>
      <c r="T456" s="50" t="n"/>
      <c r="U456" s="50" t="n"/>
    </row>
    <row r="457">
      <c r="B457" s="45" t="n"/>
      <c r="C457" s="46" t="n"/>
      <c r="E457" s="47" t="n"/>
      <c r="F457" s="47" t="n"/>
      <c r="G457" s="47" t="n"/>
      <c r="J457" s="48" t="n"/>
      <c r="K457" s="48" t="n"/>
      <c r="N457" s="47" t="n"/>
      <c r="O457" s="47" t="n"/>
      <c r="Q457" s="49">
        <f>IF(A457="","",IFERROR(INDEX('Famílias'!$E:$E,MATCH(A457,'Famílias'!$A:$A,0)),"família não cadastrada"))</f>
        <v/>
      </c>
      <c r="R457" s="50" t="n"/>
      <c r="S457" s="50" t="n"/>
      <c r="T457" s="50" t="n"/>
      <c r="U457" s="50" t="n"/>
    </row>
    <row r="458">
      <c r="B458" s="45" t="n"/>
      <c r="C458" s="46" t="n"/>
      <c r="E458" s="47" t="n"/>
      <c r="F458" s="47" t="n"/>
      <c r="G458" s="47" t="n"/>
      <c r="J458" s="48" t="n"/>
      <c r="K458" s="48" t="n"/>
      <c r="N458" s="47" t="n"/>
      <c r="O458" s="47" t="n"/>
      <c r="Q458" s="49">
        <f>IF(A458="","",IFERROR(INDEX('Famílias'!$E:$E,MATCH(A458,'Famílias'!$A:$A,0)),"família não cadastrada"))</f>
        <v/>
      </c>
      <c r="R458" s="50" t="n"/>
      <c r="S458" s="50" t="n"/>
      <c r="T458" s="50" t="n"/>
      <c r="U458" s="50" t="n"/>
    </row>
    <row r="459">
      <c r="B459" s="45" t="n"/>
      <c r="C459" s="46" t="n"/>
      <c r="E459" s="47" t="n"/>
      <c r="F459" s="47" t="n"/>
      <c r="G459" s="47" t="n"/>
      <c r="J459" s="48" t="n"/>
      <c r="K459" s="48" t="n"/>
      <c r="N459" s="47" t="n"/>
      <c r="O459" s="47" t="n"/>
      <c r="Q459" s="49">
        <f>IF(A459="","",IFERROR(INDEX('Famílias'!$E:$E,MATCH(A459,'Famílias'!$A:$A,0)),"família não cadastrada"))</f>
        <v/>
      </c>
      <c r="R459" s="50" t="n"/>
      <c r="S459" s="50" t="n"/>
      <c r="T459" s="50" t="n"/>
      <c r="U459" s="50" t="n"/>
    </row>
    <row r="460">
      <c r="B460" s="45" t="n"/>
      <c r="C460" s="46" t="n"/>
      <c r="E460" s="47" t="n"/>
      <c r="F460" s="47" t="n"/>
      <c r="G460" s="47" t="n"/>
      <c r="J460" s="48" t="n"/>
      <c r="K460" s="48" t="n"/>
      <c r="N460" s="47" t="n"/>
      <c r="O460" s="47" t="n"/>
      <c r="Q460" s="49">
        <f>IF(A460="","",IFERROR(INDEX('Famílias'!$E:$E,MATCH(A460,'Famílias'!$A:$A,0)),"família não cadastrada"))</f>
        <v/>
      </c>
      <c r="R460" s="50" t="n"/>
      <c r="S460" s="50" t="n"/>
      <c r="T460" s="50" t="n"/>
      <c r="U460" s="50" t="n"/>
    </row>
    <row r="461">
      <c r="B461" s="45" t="n"/>
      <c r="C461" s="46" t="n"/>
      <c r="E461" s="47" t="n"/>
      <c r="F461" s="47" t="n"/>
      <c r="G461" s="47" t="n"/>
      <c r="J461" s="48" t="n"/>
      <c r="K461" s="48" t="n"/>
      <c r="N461" s="47" t="n"/>
      <c r="O461" s="47" t="n"/>
      <c r="Q461" s="49">
        <f>IF(A461="","",IFERROR(INDEX('Famílias'!$E:$E,MATCH(A461,'Famílias'!$A:$A,0)),"família não cadastrada"))</f>
        <v/>
      </c>
      <c r="R461" s="50" t="n"/>
      <c r="S461" s="50" t="n"/>
      <c r="T461" s="50" t="n"/>
      <c r="U461" s="50" t="n"/>
    </row>
    <row r="462">
      <c r="B462" s="45" t="n"/>
      <c r="C462" s="46" t="n"/>
      <c r="E462" s="47" t="n"/>
      <c r="F462" s="47" t="n"/>
      <c r="G462" s="47" t="n"/>
      <c r="J462" s="48" t="n"/>
      <c r="K462" s="48" t="n"/>
      <c r="N462" s="47" t="n"/>
      <c r="O462" s="47" t="n"/>
      <c r="Q462" s="49">
        <f>IF(A462="","",IFERROR(INDEX('Famílias'!$E:$E,MATCH(A462,'Famílias'!$A:$A,0)),"família não cadastrada"))</f>
        <v/>
      </c>
      <c r="R462" s="50" t="n"/>
      <c r="S462" s="50" t="n"/>
      <c r="T462" s="50" t="n"/>
      <c r="U462" s="50" t="n"/>
    </row>
    <row r="463">
      <c r="B463" s="45" t="n"/>
      <c r="C463" s="46" t="n"/>
      <c r="E463" s="47" t="n"/>
      <c r="F463" s="47" t="n"/>
      <c r="G463" s="47" t="n"/>
      <c r="J463" s="48" t="n"/>
      <c r="K463" s="48" t="n"/>
      <c r="N463" s="47" t="n"/>
      <c r="O463" s="47" t="n"/>
      <c r="Q463" s="49">
        <f>IF(A463="","",IFERROR(INDEX('Famílias'!$E:$E,MATCH(A463,'Famílias'!$A:$A,0)),"família não cadastrada"))</f>
        <v/>
      </c>
      <c r="R463" s="50" t="n"/>
      <c r="S463" s="50" t="n"/>
      <c r="T463" s="50" t="n"/>
      <c r="U463" s="50" t="n"/>
    </row>
    <row r="464">
      <c r="B464" s="45" t="n"/>
      <c r="C464" s="46" t="n"/>
      <c r="E464" s="47" t="n"/>
      <c r="F464" s="47" t="n"/>
      <c r="G464" s="47" t="n"/>
      <c r="J464" s="48" t="n"/>
      <c r="K464" s="48" t="n"/>
      <c r="N464" s="47" t="n"/>
      <c r="O464" s="47" t="n"/>
      <c r="Q464" s="49">
        <f>IF(A464="","",IFERROR(INDEX('Famílias'!$E:$E,MATCH(A464,'Famílias'!$A:$A,0)),"família não cadastrada"))</f>
        <v/>
      </c>
      <c r="R464" s="50" t="n"/>
      <c r="S464" s="50" t="n"/>
      <c r="T464" s="50" t="n"/>
      <c r="U464" s="50" t="n"/>
    </row>
    <row r="465">
      <c r="B465" s="45" t="n"/>
      <c r="C465" s="46" t="n"/>
      <c r="E465" s="47" t="n"/>
      <c r="F465" s="47" t="n"/>
      <c r="G465" s="47" t="n"/>
      <c r="J465" s="48" t="n"/>
      <c r="K465" s="48" t="n"/>
      <c r="N465" s="47" t="n"/>
      <c r="O465" s="47" t="n"/>
      <c r="Q465" s="49">
        <f>IF(A465="","",IFERROR(INDEX('Famílias'!$E:$E,MATCH(A465,'Famílias'!$A:$A,0)),"família não cadastrada"))</f>
        <v/>
      </c>
      <c r="R465" s="50" t="n"/>
      <c r="S465" s="50" t="n"/>
      <c r="T465" s="50" t="n"/>
      <c r="U465" s="50" t="n"/>
    </row>
    <row r="466">
      <c r="B466" s="45" t="n"/>
      <c r="C466" s="46" t="n"/>
      <c r="E466" s="47" t="n"/>
      <c r="F466" s="47" t="n"/>
      <c r="G466" s="47" t="n"/>
      <c r="J466" s="48" t="n"/>
      <c r="K466" s="48" t="n"/>
      <c r="N466" s="47" t="n"/>
      <c r="O466" s="47" t="n"/>
      <c r="Q466" s="49">
        <f>IF(A466="","",IFERROR(INDEX('Famílias'!$E:$E,MATCH(A466,'Famílias'!$A:$A,0)),"família não cadastrada"))</f>
        <v/>
      </c>
      <c r="R466" s="50" t="n"/>
      <c r="S466" s="50" t="n"/>
      <c r="T466" s="50" t="n"/>
      <c r="U466" s="50" t="n"/>
    </row>
    <row r="467">
      <c r="B467" s="45" t="n"/>
      <c r="C467" s="46" t="n"/>
      <c r="E467" s="47" t="n"/>
      <c r="F467" s="47" t="n"/>
      <c r="G467" s="47" t="n"/>
      <c r="J467" s="48" t="n"/>
      <c r="K467" s="48" t="n"/>
      <c r="N467" s="47" t="n"/>
      <c r="O467" s="47" t="n"/>
      <c r="Q467" s="49">
        <f>IF(A467="","",IFERROR(INDEX('Famílias'!$E:$E,MATCH(A467,'Famílias'!$A:$A,0)),"família não cadastrada"))</f>
        <v/>
      </c>
      <c r="R467" s="50" t="n"/>
      <c r="S467" s="50" t="n"/>
      <c r="T467" s="50" t="n"/>
      <c r="U467" s="50" t="n"/>
    </row>
    <row r="468">
      <c r="B468" s="45" t="n"/>
      <c r="C468" s="46" t="n"/>
      <c r="E468" s="47" t="n"/>
      <c r="F468" s="47" t="n"/>
      <c r="G468" s="47" t="n"/>
      <c r="J468" s="48" t="n"/>
      <c r="K468" s="48" t="n"/>
      <c r="N468" s="47" t="n"/>
      <c r="O468" s="47" t="n"/>
      <c r="Q468" s="49">
        <f>IF(A468="","",IFERROR(INDEX('Famílias'!$E:$E,MATCH(A468,'Famílias'!$A:$A,0)),"família não cadastrada"))</f>
        <v/>
      </c>
      <c r="R468" s="50" t="n"/>
      <c r="S468" s="50" t="n"/>
      <c r="T468" s="50" t="n"/>
      <c r="U468" s="50" t="n"/>
    </row>
    <row r="469">
      <c r="B469" s="45" t="n"/>
      <c r="C469" s="46" t="n"/>
      <c r="E469" s="47" t="n"/>
      <c r="F469" s="47" t="n"/>
      <c r="G469" s="47" t="n"/>
      <c r="J469" s="48" t="n"/>
      <c r="K469" s="48" t="n"/>
      <c r="N469" s="47" t="n"/>
      <c r="O469" s="47" t="n"/>
      <c r="Q469" s="49">
        <f>IF(A469="","",IFERROR(INDEX('Famílias'!$E:$E,MATCH(A469,'Famílias'!$A:$A,0)),"família não cadastrada"))</f>
        <v/>
      </c>
      <c r="R469" s="50" t="n"/>
      <c r="S469" s="50" t="n"/>
      <c r="T469" s="50" t="n"/>
      <c r="U469" s="50" t="n"/>
    </row>
    <row r="470">
      <c r="B470" s="45" t="n"/>
      <c r="C470" s="46" t="n"/>
      <c r="E470" s="47" t="n"/>
      <c r="F470" s="47" t="n"/>
      <c r="G470" s="47" t="n"/>
      <c r="J470" s="48" t="n"/>
      <c r="K470" s="48" t="n"/>
      <c r="N470" s="47" t="n"/>
      <c r="O470" s="47" t="n"/>
      <c r="Q470" s="49">
        <f>IF(A470="","",IFERROR(INDEX('Famílias'!$E:$E,MATCH(A470,'Famílias'!$A:$A,0)),"família não cadastrada"))</f>
        <v/>
      </c>
      <c r="R470" s="50" t="n"/>
      <c r="S470" s="50" t="n"/>
      <c r="T470" s="50" t="n"/>
      <c r="U470" s="50" t="n"/>
    </row>
    <row r="471">
      <c r="B471" s="45" t="n"/>
      <c r="C471" s="46" t="n"/>
      <c r="E471" s="47" t="n"/>
      <c r="F471" s="47" t="n"/>
      <c r="G471" s="47" t="n"/>
      <c r="J471" s="48" t="n"/>
      <c r="K471" s="48" t="n"/>
      <c r="N471" s="47" t="n"/>
      <c r="O471" s="47" t="n"/>
      <c r="Q471" s="49">
        <f>IF(A471="","",IFERROR(INDEX('Famílias'!$E:$E,MATCH(A471,'Famílias'!$A:$A,0)),"família não cadastrada"))</f>
        <v/>
      </c>
      <c r="R471" s="50" t="n"/>
      <c r="S471" s="50" t="n"/>
      <c r="T471" s="50" t="n"/>
      <c r="U471" s="50" t="n"/>
    </row>
    <row r="472">
      <c r="B472" s="45" t="n"/>
      <c r="C472" s="46" t="n"/>
      <c r="E472" s="47" t="n"/>
      <c r="F472" s="47" t="n"/>
      <c r="G472" s="47" t="n"/>
      <c r="J472" s="48" t="n"/>
      <c r="K472" s="48" t="n"/>
      <c r="N472" s="47" t="n"/>
      <c r="O472" s="47" t="n"/>
      <c r="Q472" s="49">
        <f>IF(A472="","",IFERROR(INDEX('Famílias'!$E:$E,MATCH(A472,'Famílias'!$A:$A,0)),"família não cadastrada"))</f>
        <v/>
      </c>
      <c r="R472" s="50" t="n"/>
      <c r="S472" s="50" t="n"/>
      <c r="T472" s="50" t="n"/>
      <c r="U472" s="50" t="n"/>
    </row>
    <row r="473">
      <c r="B473" s="45" t="n"/>
      <c r="C473" s="46" t="n"/>
      <c r="E473" s="47" t="n"/>
      <c r="F473" s="47" t="n"/>
      <c r="G473" s="47" t="n"/>
      <c r="J473" s="48" t="n"/>
      <c r="K473" s="48" t="n"/>
      <c r="N473" s="47" t="n"/>
      <c r="O473" s="47" t="n"/>
      <c r="Q473" s="49">
        <f>IF(A473="","",IFERROR(INDEX('Famílias'!$E:$E,MATCH(A473,'Famílias'!$A:$A,0)),"família não cadastrada"))</f>
        <v/>
      </c>
      <c r="R473" s="50" t="n"/>
      <c r="S473" s="50" t="n"/>
      <c r="T473" s="50" t="n"/>
      <c r="U473" s="50" t="n"/>
    </row>
    <row r="474">
      <c r="B474" s="45" t="n"/>
      <c r="C474" s="46" t="n"/>
      <c r="E474" s="47" t="n"/>
      <c r="F474" s="47" t="n"/>
      <c r="G474" s="47" t="n"/>
      <c r="J474" s="48" t="n"/>
      <c r="K474" s="48" t="n"/>
      <c r="N474" s="47" t="n"/>
      <c r="O474" s="47" t="n"/>
      <c r="Q474" s="49">
        <f>IF(A474="","",IFERROR(INDEX('Famílias'!$E:$E,MATCH(A474,'Famílias'!$A:$A,0)),"família não cadastrada"))</f>
        <v/>
      </c>
      <c r="R474" s="50" t="n"/>
      <c r="S474" s="50" t="n"/>
      <c r="T474" s="50" t="n"/>
      <c r="U474" s="50" t="n"/>
    </row>
    <row r="475">
      <c r="B475" s="45" t="n"/>
      <c r="C475" s="46" t="n"/>
      <c r="E475" s="47" t="n"/>
      <c r="F475" s="47" t="n"/>
      <c r="G475" s="47" t="n"/>
      <c r="J475" s="48" t="n"/>
      <c r="K475" s="48" t="n"/>
      <c r="N475" s="47" t="n"/>
      <c r="O475" s="47" t="n"/>
      <c r="Q475" s="49">
        <f>IF(A475="","",IFERROR(INDEX('Famílias'!$E:$E,MATCH(A475,'Famílias'!$A:$A,0)),"família não cadastrada"))</f>
        <v/>
      </c>
      <c r="R475" s="50" t="n"/>
      <c r="S475" s="50" t="n"/>
      <c r="T475" s="50" t="n"/>
      <c r="U475" s="50" t="n"/>
    </row>
    <row r="476">
      <c r="B476" s="45" t="n"/>
      <c r="C476" s="46" t="n"/>
      <c r="E476" s="47" t="n"/>
      <c r="F476" s="47" t="n"/>
      <c r="G476" s="47" t="n"/>
      <c r="J476" s="48" t="n"/>
      <c r="K476" s="48" t="n"/>
      <c r="N476" s="47" t="n"/>
      <c r="O476" s="47" t="n"/>
      <c r="Q476" s="49">
        <f>IF(A476="","",IFERROR(INDEX('Famílias'!$E:$E,MATCH(A476,'Famílias'!$A:$A,0)),"família não cadastrada"))</f>
        <v/>
      </c>
      <c r="R476" s="50" t="n"/>
      <c r="S476" s="50" t="n"/>
      <c r="T476" s="50" t="n"/>
      <c r="U476" s="50" t="n"/>
    </row>
    <row r="477">
      <c r="B477" s="45" t="n"/>
      <c r="C477" s="46" t="n"/>
      <c r="E477" s="47" t="n"/>
      <c r="F477" s="47" t="n"/>
      <c r="G477" s="47" t="n"/>
      <c r="J477" s="48" t="n"/>
      <c r="K477" s="48" t="n"/>
      <c r="N477" s="47" t="n"/>
      <c r="O477" s="47" t="n"/>
      <c r="Q477" s="49">
        <f>IF(A477="","",IFERROR(INDEX('Famílias'!$E:$E,MATCH(A477,'Famílias'!$A:$A,0)),"família não cadastrada"))</f>
        <v/>
      </c>
      <c r="R477" s="50" t="n"/>
      <c r="S477" s="50" t="n"/>
      <c r="T477" s="50" t="n"/>
      <c r="U477" s="50" t="n"/>
    </row>
    <row r="478">
      <c r="B478" s="45" t="n"/>
      <c r="C478" s="46" t="n"/>
      <c r="E478" s="47" t="n"/>
      <c r="F478" s="47" t="n"/>
      <c r="G478" s="47" t="n"/>
      <c r="J478" s="48" t="n"/>
      <c r="K478" s="48" t="n"/>
      <c r="N478" s="47" t="n"/>
      <c r="O478" s="47" t="n"/>
      <c r="Q478" s="49">
        <f>IF(A478="","",IFERROR(INDEX('Famílias'!$E:$E,MATCH(A478,'Famílias'!$A:$A,0)),"família não cadastrada"))</f>
        <v/>
      </c>
      <c r="R478" s="50" t="n"/>
      <c r="S478" s="50" t="n"/>
      <c r="T478" s="50" t="n"/>
      <c r="U478" s="50" t="n"/>
    </row>
    <row r="479">
      <c r="B479" s="45" t="n"/>
      <c r="C479" s="46" t="n"/>
      <c r="E479" s="47" t="n"/>
      <c r="F479" s="47" t="n"/>
      <c r="G479" s="47" t="n"/>
      <c r="J479" s="48" t="n"/>
      <c r="K479" s="48" t="n"/>
      <c r="N479" s="47" t="n"/>
      <c r="O479" s="47" t="n"/>
      <c r="Q479" s="49">
        <f>IF(A479="","",IFERROR(INDEX('Famílias'!$E:$E,MATCH(A479,'Famílias'!$A:$A,0)),"família não cadastrada"))</f>
        <v/>
      </c>
      <c r="R479" s="50" t="n"/>
      <c r="S479" s="50" t="n"/>
      <c r="T479" s="50" t="n"/>
      <c r="U479" s="50" t="n"/>
    </row>
    <row r="480">
      <c r="B480" s="45" t="n"/>
      <c r="C480" s="46" t="n"/>
      <c r="E480" s="47" t="n"/>
      <c r="F480" s="47" t="n"/>
      <c r="G480" s="47" t="n"/>
      <c r="J480" s="48" t="n"/>
      <c r="K480" s="48" t="n"/>
      <c r="N480" s="47" t="n"/>
      <c r="O480" s="47" t="n"/>
      <c r="Q480" s="49">
        <f>IF(A480="","",IFERROR(INDEX('Famílias'!$E:$E,MATCH(A480,'Famílias'!$A:$A,0)),"família não cadastrada"))</f>
        <v/>
      </c>
      <c r="R480" s="50" t="n"/>
      <c r="S480" s="50" t="n"/>
      <c r="T480" s="50" t="n"/>
      <c r="U480" s="50" t="n"/>
    </row>
    <row r="481">
      <c r="B481" s="45" t="n"/>
      <c r="C481" s="46" t="n"/>
      <c r="E481" s="47" t="n"/>
      <c r="F481" s="47" t="n"/>
      <c r="G481" s="47" t="n"/>
      <c r="J481" s="48" t="n"/>
      <c r="K481" s="48" t="n"/>
      <c r="N481" s="47" t="n"/>
      <c r="O481" s="47" t="n"/>
      <c r="Q481" s="49">
        <f>IF(A481="","",IFERROR(INDEX('Famílias'!$E:$E,MATCH(A481,'Famílias'!$A:$A,0)),"família não cadastrada"))</f>
        <v/>
      </c>
      <c r="R481" s="50" t="n"/>
      <c r="S481" s="50" t="n"/>
      <c r="T481" s="50" t="n"/>
      <c r="U481" s="50" t="n"/>
    </row>
    <row r="482">
      <c r="B482" s="45" t="n"/>
      <c r="C482" s="46" t="n"/>
      <c r="E482" s="47" t="n"/>
      <c r="F482" s="47" t="n"/>
      <c r="G482" s="47" t="n"/>
      <c r="J482" s="48" t="n"/>
      <c r="K482" s="48" t="n"/>
      <c r="N482" s="47" t="n"/>
      <c r="O482" s="47" t="n"/>
      <c r="Q482" s="49">
        <f>IF(A482="","",IFERROR(INDEX('Famílias'!$E:$E,MATCH(A482,'Famílias'!$A:$A,0)),"família não cadastrada"))</f>
        <v/>
      </c>
      <c r="R482" s="50" t="n"/>
      <c r="S482" s="50" t="n"/>
      <c r="T482" s="50" t="n"/>
      <c r="U482" s="50" t="n"/>
    </row>
    <row r="483">
      <c r="B483" s="45" t="n"/>
      <c r="C483" s="46" t="n"/>
      <c r="E483" s="47" t="n"/>
      <c r="F483" s="47" t="n"/>
      <c r="G483" s="47" t="n"/>
      <c r="J483" s="48" t="n"/>
      <c r="K483" s="48" t="n"/>
      <c r="N483" s="47" t="n"/>
      <c r="O483" s="47" t="n"/>
      <c r="Q483" s="49">
        <f>IF(A483="","",IFERROR(INDEX('Famílias'!$E:$E,MATCH(A483,'Famílias'!$A:$A,0)),"família não cadastrada"))</f>
        <v/>
      </c>
      <c r="R483" s="50" t="n"/>
      <c r="S483" s="50" t="n"/>
      <c r="T483" s="50" t="n"/>
      <c r="U483" s="50" t="n"/>
    </row>
    <row r="484">
      <c r="B484" s="45" t="n"/>
      <c r="C484" s="46" t="n"/>
      <c r="E484" s="47" t="n"/>
      <c r="F484" s="47" t="n"/>
      <c r="G484" s="47" t="n"/>
      <c r="J484" s="48" t="n"/>
      <c r="K484" s="48" t="n"/>
      <c r="N484" s="47" t="n"/>
      <c r="O484" s="47" t="n"/>
      <c r="Q484" s="49">
        <f>IF(A484="","",IFERROR(INDEX('Famílias'!$E:$E,MATCH(A484,'Famílias'!$A:$A,0)),"família não cadastrada"))</f>
        <v/>
      </c>
      <c r="R484" s="50" t="n"/>
      <c r="S484" s="50" t="n"/>
      <c r="T484" s="50" t="n"/>
      <c r="U484" s="50" t="n"/>
    </row>
    <row r="485">
      <c r="B485" s="45" t="n"/>
      <c r="C485" s="46" t="n"/>
      <c r="E485" s="47" t="n"/>
      <c r="F485" s="47" t="n"/>
      <c r="G485" s="47" t="n"/>
      <c r="J485" s="48" t="n"/>
      <c r="K485" s="48" t="n"/>
      <c r="N485" s="47" t="n"/>
      <c r="O485" s="47" t="n"/>
      <c r="Q485" s="49">
        <f>IF(A485="","",IFERROR(INDEX('Famílias'!$E:$E,MATCH(A485,'Famílias'!$A:$A,0)),"família não cadastrada"))</f>
        <v/>
      </c>
      <c r="R485" s="50" t="n"/>
      <c r="S485" s="50" t="n"/>
      <c r="T485" s="50" t="n"/>
      <c r="U485" s="50" t="n"/>
    </row>
    <row r="486">
      <c r="B486" s="45" t="n"/>
      <c r="C486" s="46" t="n"/>
      <c r="E486" s="47" t="n"/>
      <c r="F486" s="47" t="n"/>
      <c r="G486" s="47" t="n"/>
      <c r="J486" s="48" t="n"/>
      <c r="K486" s="48" t="n"/>
      <c r="N486" s="47" t="n"/>
      <c r="O486" s="47" t="n"/>
      <c r="Q486" s="49">
        <f>IF(A486="","",IFERROR(INDEX('Famílias'!$E:$E,MATCH(A486,'Famílias'!$A:$A,0)),"família não cadastrada"))</f>
        <v/>
      </c>
      <c r="R486" s="50" t="n"/>
      <c r="S486" s="50" t="n"/>
      <c r="T486" s="50" t="n"/>
      <c r="U486" s="50" t="n"/>
    </row>
    <row r="487">
      <c r="B487" s="45" t="n"/>
      <c r="C487" s="46" t="n"/>
      <c r="E487" s="47" t="n"/>
      <c r="F487" s="47" t="n"/>
      <c r="G487" s="47" t="n"/>
      <c r="J487" s="48" t="n"/>
      <c r="K487" s="48" t="n"/>
      <c r="N487" s="47" t="n"/>
      <c r="O487" s="47" t="n"/>
      <c r="Q487" s="49">
        <f>IF(A487="","",IFERROR(INDEX('Famílias'!$E:$E,MATCH(A487,'Famílias'!$A:$A,0)),"família não cadastrada"))</f>
        <v/>
      </c>
      <c r="R487" s="50" t="n"/>
      <c r="S487" s="50" t="n"/>
      <c r="T487" s="50" t="n"/>
      <c r="U487" s="50" t="n"/>
    </row>
    <row r="488">
      <c r="B488" s="45" t="n"/>
      <c r="C488" s="46" t="n"/>
      <c r="E488" s="47" t="n"/>
      <c r="F488" s="47" t="n"/>
      <c r="G488" s="47" t="n"/>
      <c r="J488" s="48" t="n"/>
      <c r="K488" s="48" t="n"/>
      <c r="N488" s="47" t="n"/>
      <c r="O488" s="47" t="n"/>
      <c r="Q488" s="49">
        <f>IF(A488="","",IFERROR(INDEX('Famílias'!$E:$E,MATCH(A488,'Famílias'!$A:$A,0)),"família não cadastrada"))</f>
        <v/>
      </c>
      <c r="R488" s="50" t="n"/>
      <c r="S488" s="50" t="n"/>
      <c r="T488" s="50" t="n"/>
      <c r="U488" s="50" t="n"/>
    </row>
    <row r="489">
      <c r="B489" s="45" t="n"/>
      <c r="C489" s="46" t="n"/>
      <c r="E489" s="47" t="n"/>
      <c r="F489" s="47" t="n"/>
      <c r="G489" s="47" t="n"/>
      <c r="J489" s="48" t="n"/>
      <c r="K489" s="48" t="n"/>
      <c r="N489" s="47" t="n"/>
      <c r="O489" s="47" t="n"/>
      <c r="Q489" s="49">
        <f>IF(A489="","",IFERROR(INDEX('Famílias'!$E:$E,MATCH(A489,'Famílias'!$A:$A,0)),"família não cadastrada"))</f>
        <v/>
      </c>
      <c r="R489" s="50" t="n"/>
      <c r="S489" s="50" t="n"/>
      <c r="T489" s="50" t="n"/>
      <c r="U489" s="50" t="n"/>
    </row>
    <row r="490">
      <c r="B490" s="45" t="n"/>
      <c r="C490" s="46" t="n"/>
      <c r="E490" s="47" t="n"/>
      <c r="F490" s="47" t="n"/>
      <c r="G490" s="47" t="n"/>
      <c r="J490" s="48" t="n"/>
      <c r="K490" s="48" t="n"/>
      <c r="N490" s="47" t="n"/>
      <c r="O490" s="47" t="n"/>
      <c r="Q490" s="49">
        <f>IF(A490="","",IFERROR(INDEX('Famílias'!$E:$E,MATCH(A490,'Famílias'!$A:$A,0)),"família não cadastrada"))</f>
        <v/>
      </c>
      <c r="R490" s="50" t="n"/>
      <c r="S490" s="50" t="n"/>
      <c r="T490" s="50" t="n"/>
      <c r="U490" s="50" t="n"/>
    </row>
    <row r="491">
      <c r="B491" s="45" t="n"/>
      <c r="C491" s="46" t="n"/>
      <c r="E491" s="47" t="n"/>
      <c r="F491" s="47" t="n"/>
      <c r="G491" s="47" t="n"/>
      <c r="J491" s="48" t="n"/>
      <c r="K491" s="48" t="n"/>
      <c r="N491" s="47" t="n"/>
      <c r="O491" s="47" t="n"/>
      <c r="Q491" s="49">
        <f>IF(A491="","",IFERROR(INDEX('Famílias'!$E:$E,MATCH(A491,'Famílias'!$A:$A,0)),"família não cadastrada"))</f>
        <v/>
      </c>
      <c r="R491" s="50" t="n"/>
      <c r="S491" s="50" t="n"/>
      <c r="T491" s="50" t="n"/>
      <c r="U491" s="50" t="n"/>
    </row>
    <row r="492">
      <c r="B492" s="45" t="n"/>
      <c r="C492" s="46" t="n"/>
      <c r="E492" s="47" t="n"/>
      <c r="F492" s="47" t="n"/>
      <c r="G492" s="47" t="n"/>
      <c r="J492" s="48" t="n"/>
      <c r="K492" s="48" t="n"/>
      <c r="N492" s="47" t="n"/>
      <c r="O492" s="47" t="n"/>
      <c r="Q492" s="49">
        <f>IF(A492="","",IFERROR(INDEX('Famílias'!$E:$E,MATCH(A492,'Famílias'!$A:$A,0)),"família não cadastrada"))</f>
        <v/>
      </c>
      <c r="R492" s="50" t="n"/>
      <c r="S492" s="50" t="n"/>
      <c r="T492" s="50" t="n"/>
      <c r="U492" s="50" t="n"/>
    </row>
    <row r="493">
      <c r="B493" s="45" t="n"/>
      <c r="C493" s="46" t="n"/>
      <c r="E493" s="47" t="n"/>
      <c r="F493" s="47" t="n"/>
      <c r="G493" s="47" t="n"/>
      <c r="J493" s="48" t="n"/>
      <c r="K493" s="48" t="n"/>
      <c r="N493" s="47" t="n"/>
      <c r="O493" s="47" t="n"/>
      <c r="Q493" s="49">
        <f>IF(A493="","",IFERROR(INDEX('Famílias'!$E:$E,MATCH(A493,'Famílias'!$A:$A,0)),"família não cadastrada"))</f>
        <v/>
      </c>
      <c r="R493" s="50" t="n"/>
      <c r="S493" s="50" t="n"/>
      <c r="T493" s="50" t="n"/>
      <c r="U493" s="50" t="n"/>
    </row>
    <row r="494">
      <c r="B494" s="45" t="n"/>
      <c r="C494" s="46" t="n"/>
      <c r="E494" s="47" t="n"/>
      <c r="F494" s="47" t="n"/>
      <c r="G494" s="47" t="n"/>
      <c r="J494" s="48" t="n"/>
      <c r="K494" s="48" t="n"/>
      <c r="N494" s="47" t="n"/>
      <c r="O494" s="47" t="n"/>
      <c r="Q494" s="49">
        <f>IF(A494="","",IFERROR(INDEX('Famílias'!$E:$E,MATCH(A494,'Famílias'!$A:$A,0)),"família não cadastrada"))</f>
        <v/>
      </c>
      <c r="R494" s="50" t="n"/>
      <c r="S494" s="50" t="n"/>
      <c r="T494" s="50" t="n"/>
      <c r="U494" s="50" t="n"/>
    </row>
    <row r="495">
      <c r="B495" s="45" t="n"/>
      <c r="C495" s="46" t="n"/>
      <c r="E495" s="47" t="n"/>
      <c r="F495" s="47" t="n"/>
      <c r="G495" s="47" t="n"/>
      <c r="J495" s="48" t="n"/>
      <c r="K495" s="48" t="n"/>
      <c r="N495" s="47" t="n"/>
      <c r="O495" s="47" t="n"/>
      <c r="Q495" s="49">
        <f>IF(A495="","",IFERROR(INDEX('Famílias'!$E:$E,MATCH(A495,'Famílias'!$A:$A,0)),"família não cadastrada"))</f>
        <v/>
      </c>
      <c r="R495" s="50" t="n"/>
      <c r="S495" s="50" t="n"/>
      <c r="T495" s="50" t="n"/>
      <c r="U495" s="50" t="n"/>
    </row>
    <row r="496">
      <c r="B496" s="45" t="n"/>
      <c r="C496" s="46" t="n"/>
      <c r="E496" s="47" t="n"/>
      <c r="F496" s="47" t="n"/>
      <c r="G496" s="47" t="n"/>
      <c r="J496" s="48" t="n"/>
      <c r="K496" s="48" t="n"/>
      <c r="N496" s="47" t="n"/>
      <c r="O496" s="47" t="n"/>
      <c r="Q496" s="49">
        <f>IF(A496="","",IFERROR(INDEX('Famílias'!$E:$E,MATCH(A496,'Famílias'!$A:$A,0)),"família não cadastrada"))</f>
        <v/>
      </c>
      <c r="R496" s="50" t="n"/>
      <c r="S496" s="50" t="n"/>
      <c r="T496" s="50" t="n"/>
      <c r="U496" s="50" t="n"/>
    </row>
    <row r="497">
      <c r="B497" s="45" t="n"/>
      <c r="C497" s="46" t="n"/>
      <c r="E497" s="47" t="n"/>
      <c r="F497" s="47" t="n"/>
      <c r="G497" s="47" t="n"/>
      <c r="J497" s="48" t="n"/>
      <c r="K497" s="48" t="n"/>
      <c r="N497" s="47" t="n"/>
      <c r="O497" s="47" t="n"/>
      <c r="Q497" s="49">
        <f>IF(A497="","",IFERROR(INDEX('Famílias'!$E:$E,MATCH(A497,'Famílias'!$A:$A,0)),"família não cadastrada"))</f>
        <v/>
      </c>
      <c r="R497" s="50" t="n"/>
      <c r="S497" s="50" t="n"/>
      <c r="T497" s="50" t="n"/>
      <c r="U497" s="50" t="n"/>
    </row>
    <row r="498">
      <c r="B498" s="45" t="n"/>
      <c r="C498" s="46" t="n"/>
      <c r="E498" s="47" t="n"/>
      <c r="F498" s="47" t="n"/>
      <c r="G498" s="47" t="n"/>
      <c r="J498" s="48" t="n"/>
      <c r="K498" s="48" t="n"/>
      <c r="N498" s="47" t="n"/>
      <c r="O498" s="47" t="n"/>
      <c r="Q498" s="49">
        <f>IF(A498="","",IFERROR(INDEX('Famílias'!$E:$E,MATCH(A498,'Famílias'!$A:$A,0)),"família não cadastrada"))</f>
        <v/>
      </c>
      <c r="R498" s="50" t="n"/>
      <c r="S498" s="50" t="n"/>
      <c r="T498" s="50" t="n"/>
      <c r="U498" s="50" t="n"/>
    </row>
    <row r="499">
      <c r="B499" s="45" t="n"/>
      <c r="C499" s="46" t="n"/>
      <c r="E499" s="47" t="n"/>
      <c r="F499" s="47" t="n"/>
      <c r="G499" s="47" t="n"/>
      <c r="J499" s="48" t="n"/>
      <c r="K499" s="48" t="n"/>
      <c r="N499" s="47" t="n"/>
      <c r="O499" s="47" t="n"/>
      <c r="Q499" s="49">
        <f>IF(A499="","",IFERROR(INDEX('Famílias'!$E:$E,MATCH(A499,'Famílias'!$A:$A,0)),"família não cadastrada"))</f>
        <v/>
      </c>
      <c r="R499" s="50" t="n"/>
      <c r="S499" s="50" t="n"/>
      <c r="T499" s="50" t="n"/>
      <c r="U499" s="50" t="n"/>
    </row>
    <row r="500">
      <c r="B500" s="45" t="n"/>
      <c r="C500" s="46" t="n"/>
      <c r="E500" s="47" t="n"/>
      <c r="F500" s="47" t="n"/>
      <c r="G500" s="47" t="n"/>
      <c r="J500" s="48" t="n"/>
      <c r="K500" s="48" t="n"/>
      <c r="N500" s="47" t="n"/>
      <c r="O500" s="47" t="n"/>
      <c r="Q500" s="49">
        <f>IF(A500="","",IFERROR(INDEX('Famílias'!$E:$E,MATCH(A500,'Famílias'!$A:$A,0)),"família não cadastrada"))</f>
        <v/>
      </c>
      <c r="R500" s="50" t="n"/>
      <c r="S500" s="50" t="n"/>
      <c r="T500" s="50" t="n"/>
      <c r="U500" s="50" t="n"/>
    </row>
    <row r="501">
      <c r="B501" s="45" t="n"/>
      <c r="C501" s="46" t="n"/>
      <c r="E501" s="47" t="n"/>
      <c r="F501" s="47" t="n"/>
      <c r="G501" s="47" t="n"/>
      <c r="J501" s="48" t="n"/>
      <c r="K501" s="48" t="n"/>
      <c r="N501" s="47" t="n"/>
      <c r="O501" s="47" t="n"/>
      <c r="Q501" s="49">
        <f>IF(A501="","",IFERROR(INDEX('Famílias'!$E:$E,MATCH(A501,'Famílias'!$A:$A,0)),"família não cadastrada"))</f>
        <v/>
      </c>
      <c r="R501" s="50" t="n"/>
      <c r="S501" s="50" t="n"/>
      <c r="T501" s="50" t="n"/>
      <c r="U501" s="50" t="n"/>
    </row>
    <row r="502">
      <c r="B502" s="45" t="n"/>
      <c r="C502" s="46" t="n"/>
      <c r="E502" s="47" t="n"/>
      <c r="F502" s="47" t="n"/>
      <c r="G502" s="47" t="n"/>
      <c r="J502" s="48" t="n"/>
      <c r="K502" s="48" t="n"/>
      <c r="N502" s="47" t="n"/>
      <c r="O502" s="47" t="n"/>
      <c r="Q502" s="49">
        <f>IF(A502="","",IFERROR(INDEX('Famílias'!$E:$E,MATCH(A502,'Famílias'!$A:$A,0)),"família não cadastrada"))</f>
        <v/>
      </c>
      <c r="R502" s="50" t="n"/>
      <c r="S502" s="50" t="n"/>
      <c r="T502" s="50" t="n"/>
      <c r="U502" s="50" t="n"/>
    </row>
    <row r="503">
      <c r="B503" s="45" t="n"/>
      <c r="C503" s="46" t="n"/>
      <c r="E503" s="47" t="n"/>
      <c r="F503" s="47" t="n"/>
      <c r="G503" s="47" t="n"/>
      <c r="J503" s="48" t="n"/>
      <c r="K503" s="48" t="n"/>
      <c r="N503" s="47" t="n"/>
      <c r="O503" s="47" t="n"/>
      <c r="Q503" s="49">
        <f>IF(A503="","",IFERROR(INDEX('Famílias'!$E:$E,MATCH(A503,'Famílias'!$A:$A,0)),"família não cadastrada"))</f>
        <v/>
      </c>
      <c r="R503" s="50" t="n"/>
      <c r="S503" s="50" t="n"/>
      <c r="T503" s="50" t="n"/>
      <c r="U503" s="50" t="n"/>
    </row>
    <row r="504">
      <c r="B504" s="45" t="n"/>
      <c r="C504" s="46" t="n"/>
      <c r="E504" s="47" t="n"/>
      <c r="F504" s="47" t="n"/>
      <c r="G504" s="47" t="n"/>
      <c r="J504" s="48" t="n"/>
      <c r="K504" s="48" t="n"/>
      <c r="N504" s="47" t="n"/>
      <c r="O504" s="47" t="n"/>
      <c r="Q504" s="49">
        <f>IF(A504="","",IFERROR(INDEX('Famílias'!$E:$E,MATCH(A504,'Famílias'!$A:$A,0)),"família não cadastrada"))</f>
        <v/>
      </c>
      <c r="R504" s="50" t="n"/>
      <c r="S504" s="50" t="n"/>
      <c r="T504" s="50" t="n"/>
      <c r="U504" s="50" t="n"/>
    </row>
    <row r="505">
      <c r="B505" s="45" t="n"/>
      <c r="C505" s="46" t="n"/>
      <c r="E505" s="47" t="n"/>
      <c r="F505" s="47" t="n"/>
      <c r="G505" s="47" t="n"/>
      <c r="J505" s="48" t="n"/>
      <c r="K505" s="48" t="n"/>
      <c r="N505" s="47" t="n"/>
      <c r="O505" s="47" t="n"/>
      <c r="Q505" s="49">
        <f>IF(A505="","",IFERROR(INDEX('Famílias'!$E:$E,MATCH(A505,'Famílias'!$A:$A,0)),"família não cadastrada"))</f>
        <v/>
      </c>
      <c r="R505" s="50" t="n"/>
      <c r="S505" s="50" t="n"/>
      <c r="T505" s="50" t="n"/>
      <c r="U505" s="50" t="n"/>
    </row>
    <row r="506">
      <c r="B506" s="45" t="n"/>
      <c r="C506" s="46" t="n"/>
      <c r="E506" s="47" t="n"/>
      <c r="F506" s="47" t="n"/>
      <c r="G506" s="47" t="n"/>
      <c r="J506" s="48" t="n"/>
      <c r="K506" s="48" t="n"/>
      <c r="N506" s="47" t="n"/>
      <c r="O506" s="47" t="n"/>
      <c r="Q506" s="49">
        <f>IF(A506="","",IFERROR(INDEX('Famílias'!$E:$E,MATCH(A506,'Famílias'!$A:$A,0)),"família não cadastrada"))</f>
        <v/>
      </c>
      <c r="R506" s="50" t="n"/>
      <c r="S506" s="50" t="n"/>
      <c r="T506" s="50" t="n"/>
      <c r="U506" s="50" t="n"/>
    </row>
    <row r="507">
      <c r="B507" s="45" t="n"/>
      <c r="C507" s="46" t="n"/>
      <c r="E507" s="47" t="n"/>
      <c r="F507" s="47" t="n"/>
      <c r="G507" s="47" t="n"/>
      <c r="J507" s="48" t="n"/>
      <c r="K507" s="48" t="n"/>
      <c r="N507" s="47" t="n"/>
      <c r="O507" s="47" t="n"/>
      <c r="Q507" s="49">
        <f>IF(A507="","",IFERROR(INDEX('Famílias'!$E:$E,MATCH(A507,'Famílias'!$A:$A,0)),"família não cadastrada"))</f>
        <v/>
      </c>
      <c r="R507" s="50" t="n"/>
      <c r="S507" s="50" t="n"/>
      <c r="T507" s="50" t="n"/>
      <c r="U507" s="50" t="n"/>
    </row>
    <row r="508">
      <c r="B508" s="45" t="n"/>
      <c r="C508" s="46" t="n"/>
      <c r="E508" s="47" t="n"/>
      <c r="F508" s="47" t="n"/>
      <c r="G508" s="47" t="n"/>
      <c r="J508" s="48" t="n"/>
      <c r="K508" s="48" t="n"/>
      <c r="N508" s="47" t="n"/>
      <c r="O508" s="47" t="n"/>
      <c r="Q508" s="49">
        <f>IF(A508="","",IFERROR(INDEX('Famílias'!$E:$E,MATCH(A508,'Famílias'!$A:$A,0)),"família não cadastrada"))</f>
        <v/>
      </c>
      <c r="R508" s="50" t="n"/>
      <c r="S508" s="50" t="n"/>
      <c r="T508" s="50" t="n"/>
      <c r="U508" s="50" t="n"/>
    </row>
    <row r="509">
      <c r="B509" s="45" t="n"/>
      <c r="C509" s="46" t="n"/>
      <c r="E509" s="47" t="n"/>
      <c r="F509" s="47" t="n"/>
      <c r="G509" s="47" t="n"/>
      <c r="J509" s="48" t="n"/>
      <c r="K509" s="48" t="n"/>
      <c r="N509" s="47" t="n"/>
      <c r="O509" s="47" t="n"/>
      <c r="Q509" s="49">
        <f>IF(A509="","",IFERROR(INDEX('Famílias'!$E:$E,MATCH(A509,'Famílias'!$A:$A,0)),"família não cadastrada"))</f>
        <v/>
      </c>
      <c r="R509" s="50" t="n"/>
      <c r="S509" s="50" t="n"/>
      <c r="T509" s="50" t="n"/>
      <c r="U509" s="50" t="n"/>
    </row>
    <row r="510">
      <c r="B510" s="45" t="n"/>
      <c r="C510" s="46" t="n"/>
      <c r="E510" s="47" t="n"/>
      <c r="F510" s="47" t="n"/>
      <c r="G510" s="47" t="n"/>
      <c r="J510" s="48" t="n"/>
      <c r="K510" s="48" t="n"/>
      <c r="N510" s="47" t="n"/>
      <c r="O510" s="47" t="n"/>
      <c r="Q510" s="49">
        <f>IF(A510="","",IFERROR(INDEX('Famílias'!$E:$E,MATCH(A510,'Famílias'!$A:$A,0)),"família não cadastrada"))</f>
        <v/>
      </c>
      <c r="R510" s="50" t="n"/>
      <c r="S510" s="50" t="n"/>
      <c r="T510" s="50" t="n"/>
      <c r="U510" s="50" t="n"/>
    </row>
    <row r="511">
      <c r="B511" s="45" t="n"/>
      <c r="C511" s="46" t="n"/>
      <c r="E511" s="47" t="n"/>
      <c r="F511" s="47" t="n"/>
      <c r="G511" s="47" t="n"/>
      <c r="J511" s="48" t="n"/>
      <c r="K511" s="48" t="n"/>
      <c r="N511" s="47" t="n"/>
      <c r="O511" s="47" t="n"/>
      <c r="Q511" s="49">
        <f>IF(A511="","",IFERROR(INDEX('Famílias'!$E:$E,MATCH(A511,'Famílias'!$A:$A,0)),"família não cadastrada"))</f>
        <v/>
      </c>
      <c r="R511" s="50" t="n"/>
      <c r="S511" s="50" t="n"/>
      <c r="T511" s="50" t="n"/>
      <c r="U511" s="50" t="n"/>
    </row>
    <row r="512">
      <c r="B512" s="45" t="n"/>
      <c r="C512" s="46" t="n"/>
      <c r="E512" s="47" t="n"/>
      <c r="F512" s="47" t="n"/>
      <c r="G512" s="47" t="n"/>
      <c r="J512" s="48" t="n"/>
      <c r="K512" s="48" t="n"/>
      <c r="N512" s="47" t="n"/>
      <c r="O512" s="47" t="n"/>
      <c r="Q512" s="49">
        <f>IF(A512="","",IFERROR(INDEX('Famílias'!$E:$E,MATCH(A512,'Famílias'!$A:$A,0)),"família não cadastrada"))</f>
        <v/>
      </c>
      <c r="R512" s="50" t="n"/>
      <c r="S512" s="50" t="n"/>
      <c r="T512" s="50" t="n"/>
      <c r="U512" s="50" t="n"/>
    </row>
    <row r="513">
      <c r="B513" s="45" t="n"/>
      <c r="C513" s="46" t="n"/>
      <c r="E513" s="47" t="n"/>
      <c r="F513" s="47" t="n"/>
      <c r="G513" s="47" t="n"/>
      <c r="J513" s="48" t="n"/>
      <c r="K513" s="48" t="n"/>
      <c r="N513" s="47" t="n"/>
      <c r="O513" s="47" t="n"/>
      <c r="Q513" s="49">
        <f>IF(A513="","",IFERROR(INDEX('Famílias'!$E:$E,MATCH(A513,'Famílias'!$A:$A,0)),"família não cadastrada"))</f>
        <v/>
      </c>
      <c r="R513" s="50" t="n"/>
      <c r="S513" s="50" t="n"/>
      <c r="T513" s="50" t="n"/>
      <c r="U513" s="50" t="n"/>
    </row>
    <row r="514">
      <c r="B514" s="45" t="n"/>
      <c r="C514" s="46" t="n"/>
      <c r="E514" s="47" t="n"/>
      <c r="F514" s="47" t="n"/>
      <c r="G514" s="47" t="n"/>
      <c r="J514" s="48" t="n"/>
      <c r="K514" s="48" t="n"/>
      <c r="N514" s="47" t="n"/>
      <c r="O514" s="47" t="n"/>
      <c r="Q514" s="49">
        <f>IF(A514="","",IFERROR(INDEX('Famílias'!$E:$E,MATCH(A514,'Famílias'!$A:$A,0)),"família não cadastrada"))</f>
        <v/>
      </c>
      <c r="R514" s="50" t="n"/>
      <c r="S514" s="50" t="n"/>
      <c r="T514" s="50" t="n"/>
      <c r="U514" s="50" t="n"/>
    </row>
    <row r="515">
      <c r="B515" s="45" t="n"/>
      <c r="C515" s="46" t="n"/>
      <c r="E515" s="47" t="n"/>
      <c r="F515" s="47" t="n"/>
      <c r="G515" s="47" t="n"/>
      <c r="J515" s="48" t="n"/>
      <c r="K515" s="48" t="n"/>
      <c r="N515" s="47" t="n"/>
      <c r="O515" s="47" t="n"/>
      <c r="Q515" s="49">
        <f>IF(A515="","",IFERROR(INDEX('Famílias'!$E:$E,MATCH(A515,'Famílias'!$A:$A,0)),"família não cadastrada"))</f>
        <v/>
      </c>
      <c r="R515" s="50" t="n"/>
      <c r="S515" s="50" t="n"/>
      <c r="T515" s="50" t="n"/>
      <c r="U515" s="50" t="n"/>
    </row>
    <row r="516">
      <c r="B516" s="45" t="n"/>
      <c r="C516" s="46" t="n"/>
      <c r="E516" s="47" t="n"/>
      <c r="F516" s="47" t="n"/>
      <c r="G516" s="47" t="n"/>
      <c r="J516" s="48" t="n"/>
      <c r="K516" s="48" t="n"/>
      <c r="N516" s="47" t="n"/>
      <c r="O516" s="47" t="n"/>
      <c r="Q516" s="49">
        <f>IF(A516="","",IFERROR(INDEX('Famílias'!$E:$E,MATCH(A516,'Famílias'!$A:$A,0)),"família não cadastrada"))</f>
        <v/>
      </c>
      <c r="R516" s="50" t="n"/>
      <c r="S516" s="50" t="n"/>
      <c r="T516" s="50" t="n"/>
      <c r="U516" s="50" t="n"/>
    </row>
    <row r="517">
      <c r="B517" s="45" t="n"/>
      <c r="C517" s="46" t="n"/>
      <c r="E517" s="47" t="n"/>
      <c r="F517" s="47" t="n"/>
      <c r="G517" s="47" t="n"/>
      <c r="J517" s="48" t="n"/>
      <c r="K517" s="48" t="n"/>
      <c r="N517" s="47" t="n"/>
      <c r="O517" s="47" t="n"/>
      <c r="Q517" s="49">
        <f>IF(A517="","",IFERROR(INDEX('Famílias'!$E:$E,MATCH(A517,'Famílias'!$A:$A,0)),"família não cadastrada"))</f>
        <v/>
      </c>
      <c r="R517" s="50" t="n"/>
      <c r="S517" s="50" t="n"/>
      <c r="T517" s="50" t="n"/>
      <c r="U517" s="50" t="n"/>
    </row>
    <row r="518">
      <c r="B518" s="45" t="n"/>
      <c r="C518" s="46" t="n"/>
      <c r="E518" s="47" t="n"/>
      <c r="F518" s="47" t="n"/>
      <c r="G518" s="47" t="n"/>
      <c r="J518" s="48" t="n"/>
      <c r="K518" s="48" t="n"/>
      <c r="N518" s="47" t="n"/>
      <c r="O518" s="47" t="n"/>
      <c r="Q518" s="49">
        <f>IF(A518="","",IFERROR(INDEX('Famílias'!$E:$E,MATCH(A518,'Famílias'!$A:$A,0)),"família não cadastrada"))</f>
        <v/>
      </c>
      <c r="R518" s="50" t="n"/>
      <c r="S518" s="50" t="n"/>
      <c r="T518" s="50" t="n"/>
      <c r="U518" s="50" t="n"/>
    </row>
    <row r="519">
      <c r="B519" s="45" t="n"/>
      <c r="C519" s="46" t="n"/>
      <c r="E519" s="47" t="n"/>
      <c r="F519" s="47" t="n"/>
      <c r="G519" s="47" t="n"/>
      <c r="J519" s="48" t="n"/>
      <c r="K519" s="48" t="n"/>
      <c r="N519" s="47" t="n"/>
      <c r="O519" s="47" t="n"/>
      <c r="Q519" s="49">
        <f>IF(A519="","",IFERROR(INDEX('Famílias'!$E:$E,MATCH(A519,'Famílias'!$A:$A,0)),"família não cadastrada"))</f>
        <v/>
      </c>
      <c r="R519" s="50" t="n"/>
      <c r="S519" s="50" t="n"/>
      <c r="T519" s="50" t="n"/>
      <c r="U519" s="50" t="n"/>
    </row>
    <row r="520">
      <c r="B520" s="45" t="n"/>
      <c r="C520" s="46" t="n"/>
      <c r="E520" s="47" t="n"/>
      <c r="F520" s="47" t="n"/>
      <c r="G520" s="47" t="n"/>
      <c r="J520" s="48" t="n"/>
      <c r="K520" s="48" t="n"/>
      <c r="N520" s="47" t="n"/>
      <c r="O520" s="47" t="n"/>
      <c r="Q520" s="49">
        <f>IF(A520="","",IFERROR(INDEX('Famílias'!$E:$E,MATCH(A520,'Famílias'!$A:$A,0)),"família não cadastrada"))</f>
        <v/>
      </c>
      <c r="R520" s="50" t="n"/>
      <c r="S520" s="50" t="n"/>
      <c r="T520" s="50" t="n"/>
      <c r="U520" s="50" t="n"/>
    </row>
    <row r="521">
      <c r="B521" s="45" t="n"/>
      <c r="C521" s="46" t="n"/>
      <c r="E521" s="47" t="n"/>
      <c r="F521" s="47" t="n"/>
      <c r="G521" s="47" t="n"/>
      <c r="J521" s="48" t="n"/>
      <c r="K521" s="48" t="n"/>
      <c r="N521" s="47" t="n"/>
      <c r="O521" s="47" t="n"/>
      <c r="Q521" s="49">
        <f>IF(A521="","",IFERROR(INDEX('Famílias'!$E:$E,MATCH(A521,'Famílias'!$A:$A,0)),"família não cadastrada"))</f>
        <v/>
      </c>
      <c r="R521" s="50" t="n"/>
      <c r="S521" s="50" t="n"/>
      <c r="T521" s="50" t="n"/>
      <c r="U521" s="50" t="n"/>
    </row>
    <row r="522">
      <c r="B522" s="45" t="n"/>
      <c r="C522" s="46" t="n"/>
      <c r="E522" s="47" t="n"/>
      <c r="F522" s="47" t="n"/>
      <c r="G522" s="47" t="n"/>
      <c r="J522" s="48" t="n"/>
      <c r="K522" s="48" t="n"/>
      <c r="N522" s="47" t="n"/>
      <c r="O522" s="47" t="n"/>
      <c r="Q522" s="49">
        <f>IF(A522="","",IFERROR(INDEX('Famílias'!$E:$E,MATCH(A522,'Famílias'!$A:$A,0)),"família não cadastrada"))</f>
        <v/>
      </c>
      <c r="R522" s="50" t="n"/>
      <c r="S522" s="50" t="n"/>
      <c r="T522" s="50" t="n"/>
      <c r="U522" s="50" t="n"/>
    </row>
    <row r="523">
      <c r="B523" s="45" t="n"/>
      <c r="C523" s="46" t="n"/>
      <c r="E523" s="47" t="n"/>
      <c r="F523" s="47" t="n"/>
      <c r="G523" s="47" t="n"/>
      <c r="J523" s="48" t="n"/>
      <c r="K523" s="48" t="n"/>
      <c r="N523" s="47" t="n"/>
      <c r="O523" s="47" t="n"/>
      <c r="Q523" s="49">
        <f>IF(A523="","",IFERROR(INDEX('Famílias'!$E:$E,MATCH(A523,'Famílias'!$A:$A,0)),"família não cadastrada"))</f>
        <v/>
      </c>
      <c r="R523" s="50" t="n"/>
      <c r="S523" s="50" t="n"/>
      <c r="T523" s="50" t="n"/>
      <c r="U523" s="50" t="n"/>
    </row>
    <row r="524">
      <c r="B524" s="45" t="n"/>
      <c r="C524" s="46" t="n"/>
      <c r="E524" s="47" t="n"/>
      <c r="F524" s="47" t="n"/>
      <c r="G524" s="47" t="n"/>
      <c r="J524" s="48" t="n"/>
      <c r="K524" s="48" t="n"/>
      <c r="N524" s="47" t="n"/>
      <c r="O524" s="47" t="n"/>
      <c r="Q524" s="49">
        <f>IF(A524="","",IFERROR(INDEX('Famílias'!$E:$E,MATCH(A524,'Famílias'!$A:$A,0)),"família não cadastrada"))</f>
        <v/>
      </c>
      <c r="R524" s="50" t="n"/>
      <c r="S524" s="50" t="n"/>
      <c r="T524" s="50" t="n"/>
      <c r="U524" s="50" t="n"/>
    </row>
    <row r="525">
      <c r="B525" s="45" t="n"/>
      <c r="C525" s="46" t="n"/>
      <c r="E525" s="47" t="n"/>
      <c r="F525" s="47" t="n"/>
      <c r="G525" s="47" t="n"/>
      <c r="J525" s="48" t="n"/>
      <c r="K525" s="48" t="n"/>
      <c r="N525" s="47" t="n"/>
      <c r="O525" s="47" t="n"/>
      <c r="Q525" s="49">
        <f>IF(A525="","",IFERROR(INDEX('Famílias'!$E:$E,MATCH(A525,'Famílias'!$A:$A,0)),"família não cadastrada"))</f>
        <v/>
      </c>
      <c r="R525" s="50" t="n"/>
      <c r="S525" s="50" t="n"/>
      <c r="T525" s="50" t="n"/>
      <c r="U525" s="50" t="n"/>
    </row>
    <row r="526">
      <c r="B526" s="45" t="n"/>
      <c r="C526" s="46" t="n"/>
      <c r="E526" s="47" t="n"/>
      <c r="F526" s="47" t="n"/>
      <c r="G526" s="47" t="n"/>
      <c r="J526" s="48" t="n"/>
      <c r="K526" s="48" t="n"/>
      <c r="N526" s="47" t="n"/>
      <c r="O526" s="47" t="n"/>
      <c r="Q526" s="49">
        <f>IF(A526="","",IFERROR(INDEX('Famílias'!$E:$E,MATCH(A526,'Famílias'!$A:$A,0)),"família não cadastrada"))</f>
        <v/>
      </c>
      <c r="R526" s="50" t="n"/>
      <c r="S526" s="50" t="n"/>
      <c r="T526" s="50" t="n"/>
      <c r="U526" s="50" t="n"/>
    </row>
    <row r="527">
      <c r="B527" s="45" t="n"/>
      <c r="C527" s="46" t="n"/>
      <c r="E527" s="47" t="n"/>
      <c r="F527" s="47" t="n"/>
      <c r="G527" s="47" t="n"/>
      <c r="J527" s="48" t="n"/>
      <c r="K527" s="48" t="n"/>
      <c r="N527" s="47" t="n"/>
      <c r="O527" s="47" t="n"/>
      <c r="Q527" s="49">
        <f>IF(A527="","",IFERROR(INDEX('Famílias'!$E:$E,MATCH(A527,'Famílias'!$A:$A,0)),"família não cadastrada"))</f>
        <v/>
      </c>
      <c r="R527" s="50" t="n"/>
      <c r="S527" s="50" t="n"/>
      <c r="T527" s="50" t="n"/>
      <c r="U527" s="50" t="n"/>
    </row>
    <row r="528">
      <c r="B528" s="45" t="n"/>
      <c r="C528" s="46" t="n"/>
      <c r="E528" s="47" t="n"/>
      <c r="F528" s="47" t="n"/>
      <c r="G528" s="47" t="n"/>
      <c r="J528" s="48" t="n"/>
      <c r="K528" s="48" t="n"/>
      <c r="N528" s="47" t="n"/>
      <c r="O528" s="47" t="n"/>
      <c r="Q528" s="49">
        <f>IF(A528="","",IFERROR(INDEX('Famílias'!$E:$E,MATCH(A528,'Famílias'!$A:$A,0)),"família não cadastrada"))</f>
        <v/>
      </c>
      <c r="R528" s="50" t="n"/>
      <c r="S528" s="50" t="n"/>
      <c r="T528" s="50" t="n"/>
      <c r="U528" s="50" t="n"/>
    </row>
    <row r="529">
      <c r="B529" s="45" t="n"/>
      <c r="C529" s="46" t="n"/>
      <c r="E529" s="47" t="n"/>
      <c r="F529" s="47" t="n"/>
      <c r="G529" s="47" t="n"/>
      <c r="J529" s="48" t="n"/>
      <c r="K529" s="48" t="n"/>
      <c r="N529" s="47" t="n"/>
      <c r="O529" s="47" t="n"/>
      <c r="Q529" s="49">
        <f>IF(A529="","",IFERROR(INDEX('Famílias'!$E:$E,MATCH(A529,'Famílias'!$A:$A,0)),"família não cadastrada"))</f>
        <v/>
      </c>
      <c r="R529" s="50" t="n"/>
      <c r="S529" s="50" t="n"/>
      <c r="T529" s="50" t="n"/>
      <c r="U529" s="50" t="n"/>
    </row>
    <row r="530">
      <c r="B530" s="45" t="n"/>
      <c r="C530" s="46" t="n"/>
      <c r="E530" s="47" t="n"/>
      <c r="F530" s="47" t="n"/>
      <c r="G530" s="47" t="n"/>
      <c r="J530" s="48" t="n"/>
      <c r="K530" s="48" t="n"/>
      <c r="N530" s="47" t="n"/>
      <c r="O530" s="47" t="n"/>
      <c r="Q530" s="49">
        <f>IF(A530="","",IFERROR(INDEX('Famílias'!$E:$E,MATCH(A530,'Famílias'!$A:$A,0)),"família não cadastrada"))</f>
        <v/>
      </c>
      <c r="R530" s="50" t="n"/>
      <c r="S530" s="50" t="n"/>
      <c r="T530" s="50" t="n"/>
      <c r="U530" s="50" t="n"/>
    </row>
    <row r="531">
      <c r="B531" s="45" t="n"/>
      <c r="C531" s="46" t="n"/>
      <c r="E531" s="47" t="n"/>
      <c r="F531" s="47" t="n"/>
      <c r="G531" s="47" t="n"/>
      <c r="J531" s="48" t="n"/>
      <c r="K531" s="48" t="n"/>
      <c r="N531" s="47" t="n"/>
      <c r="O531" s="47" t="n"/>
      <c r="Q531" s="49">
        <f>IF(A531="","",IFERROR(INDEX('Famílias'!$E:$E,MATCH(A531,'Famílias'!$A:$A,0)),"família não cadastrada"))</f>
        <v/>
      </c>
      <c r="R531" s="50" t="n"/>
      <c r="S531" s="50" t="n"/>
      <c r="T531" s="50" t="n"/>
      <c r="U531" s="50" t="n"/>
    </row>
    <row r="532">
      <c r="B532" s="45" t="n"/>
      <c r="C532" s="46" t="n"/>
      <c r="E532" s="47" t="n"/>
      <c r="F532" s="47" t="n"/>
      <c r="G532" s="47" t="n"/>
      <c r="J532" s="48" t="n"/>
      <c r="K532" s="48" t="n"/>
      <c r="N532" s="47" t="n"/>
      <c r="O532" s="47" t="n"/>
      <c r="Q532" s="49">
        <f>IF(A532="","",IFERROR(INDEX('Famílias'!$E:$E,MATCH(A532,'Famílias'!$A:$A,0)),"família não cadastrada"))</f>
        <v/>
      </c>
      <c r="R532" s="50" t="n"/>
      <c r="S532" s="50" t="n"/>
      <c r="T532" s="50" t="n"/>
      <c r="U532" s="50" t="n"/>
    </row>
    <row r="533">
      <c r="B533" s="45" t="n"/>
      <c r="C533" s="46" t="n"/>
      <c r="E533" s="47" t="n"/>
      <c r="F533" s="47" t="n"/>
      <c r="G533" s="47" t="n"/>
      <c r="J533" s="48" t="n"/>
      <c r="K533" s="48" t="n"/>
      <c r="N533" s="47" t="n"/>
      <c r="O533" s="47" t="n"/>
      <c r="Q533" s="49">
        <f>IF(A533="","",IFERROR(INDEX('Famílias'!$E:$E,MATCH(A533,'Famílias'!$A:$A,0)),"família não cadastrada"))</f>
        <v/>
      </c>
      <c r="R533" s="50" t="n"/>
      <c r="S533" s="50" t="n"/>
      <c r="T533" s="50" t="n"/>
      <c r="U533" s="50" t="n"/>
    </row>
    <row r="534">
      <c r="B534" s="45" t="n"/>
      <c r="C534" s="46" t="n"/>
      <c r="E534" s="47" t="n"/>
      <c r="F534" s="47" t="n"/>
      <c r="G534" s="47" t="n"/>
      <c r="J534" s="48" t="n"/>
      <c r="K534" s="48" t="n"/>
      <c r="N534" s="47" t="n"/>
      <c r="O534" s="47" t="n"/>
      <c r="Q534" s="49">
        <f>IF(A534="","",IFERROR(INDEX('Famílias'!$E:$E,MATCH(A534,'Famílias'!$A:$A,0)),"família não cadastrada"))</f>
        <v/>
      </c>
      <c r="R534" s="50" t="n"/>
      <c r="S534" s="50" t="n"/>
      <c r="T534" s="50" t="n"/>
      <c r="U534" s="50" t="n"/>
    </row>
    <row r="535">
      <c r="B535" s="45" t="n"/>
      <c r="C535" s="46" t="n"/>
      <c r="E535" s="47" t="n"/>
      <c r="F535" s="47" t="n"/>
      <c r="G535" s="47" t="n"/>
      <c r="J535" s="48" t="n"/>
      <c r="K535" s="48" t="n"/>
      <c r="N535" s="47" t="n"/>
      <c r="O535" s="47" t="n"/>
      <c r="Q535" s="49">
        <f>IF(A535="","",IFERROR(INDEX('Famílias'!$E:$E,MATCH(A535,'Famílias'!$A:$A,0)),"família não cadastrada"))</f>
        <v/>
      </c>
      <c r="R535" s="50" t="n"/>
      <c r="S535" s="50" t="n"/>
      <c r="T535" s="50" t="n"/>
      <c r="U535" s="50" t="n"/>
    </row>
    <row r="536">
      <c r="B536" s="45" t="n"/>
      <c r="C536" s="46" t="n"/>
      <c r="E536" s="47" t="n"/>
      <c r="F536" s="47" t="n"/>
      <c r="G536" s="47" t="n"/>
      <c r="J536" s="48" t="n"/>
      <c r="K536" s="48" t="n"/>
      <c r="N536" s="47" t="n"/>
      <c r="O536" s="47" t="n"/>
      <c r="Q536" s="49">
        <f>IF(A536="","",IFERROR(INDEX('Famílias'!$E:$E,MATCH(A536,'Famílias'!$A:$A,0)),"família não cadastrada"))</f>
        <v/>
      </c>
      <c r="R536" s="50" t="n"/>
      <c r="S536" s="50" t="n"/>
      <c r="T536" s="50" t="n"/>
      <c r="U536" s="50" t="n"/>
    </row>
    <row r="537">
      <c r="B537" s="45" t="n"/>
      <c r="C537" s="46" t="n"/>
      <c r="E537" s="47" t="n"/>
      <c r="F537" s="47" t="n"/>
      <c r="G537" s="47" t="n"/>
      <c r="J537" s="48" t="n"/>
      <c r="K537" s="48" t="n"/>
      <c r="N537" s="47" t="n"/>
      <c r="O537" s="47" t="n"/>
      <c r="Q537" s="49">
        <f>IF(A537="","",IFERROR(INDEX('Famílias'!$E:$E,MATCH(A537,'Famílias'!$A:$A,0)),"família não cadastrada"))</f>
        <v/>
      </c>
      <c r="R537" s="50" t="n"/>
      <c r="S537" s="50" t="n"/>
      <c r="T537" s="50" t="n"/>
      <c r="U537" s="50" t="n"/>
    </row>
    <row r="538">
      <c r="B538" s="45" t="n"/>
      <c r="C538" s="46" t="n"/>
      <c r="E538" s="47" t="n"/>
      <c r="F538" s="47" t="n"/>
      <c r="G538" s="47" t="n"/>
      <c r="J538" s="48" t="n"/>
      <c r="K538" s="48" t="n"/>
      <c r="N538" s="47" t="n"/>
      <c r="O538" s="47" t="n"/>
      <c r="Q538" s="49">
        <f>IF(A538="","",IFERROR(INDEX('Famílias'!$E:$E,MATCH(A538,'Famílias'!$A:$A,0)),"família não cadastrada"))</f>
        <v/>
      </c>
      <c r="R538" s="50" t="n"/>
      <c r="S538" s="50" t="n"/>
      <c r="T538" s="50" t="n"/>
      <c r="U538" s="50" t="n"/>
    </row>
    <row r="539">
      <c r="B539" s="45" t="n"/>
      <c r="C539" s="46" t="n"/>
      <c r="E539" s="47" t="n"/>
      <c r="F539" s="47" t="n"/>
      <c r="G539" s="47" t="n"/>
      <c r="J539" s="48" t="n"/>
      <c r="K539" s="48" t="n"/>
      <c r="N539" s="47" t="n"/>
      <c r="O539" s="47" t="n"/>
      <c r="Q539" s="49">
        <f>IF(A539="","",IFERROR(INDEX('Famílias'!$E:$E,MATCH(A539,'Famílias'!$A:$A,0)),"família não cadastrada"))</f>
        <v/>
      </c>
      <c r="R539" s="50" t="n"/>
      <c r="S539" s="50" t="n"/>
      <c r="T539" s="50" t="n"/>
      <c r="U539" s="50" t="n"/>
    </row>
    <row r="540">
      <c r="B540" s="45" t="n"/>
      <c r="C540" s="46" t="n"/>
      <c r="E540" s="47" t="n"/>
      <c r="F540" s="47" t="n"/>
      <c r="G540" s="47" t="n"/>
      <c r="J540" s="48" t="n"/>
      <c r="K540" s="48" t="n"/>
      <c r="N540" s="47" t="n"/>
      <c r="O540" s="47" t="n"/>
      <c r="Q540" s="49">
        <f>IF(A540="","",IFERROR(INDEX('Famílias'!$E:$E,MATCH(A540,'Famílias'!$A:$A,0)),"família não cadastrada"))</f>
        <v/>
      </c>
      <c r="R540" s="50" t="n"/>
      <c r="S540" s="50" t="n"/>
      <c r="T540" s="50" t="n"/>
      <c r="U540" s="50" t="n"/>
    </row>
    <row r="541">
      <c r="B541" s="45" t="n"/>
      <c r="C541" s="46" t="n"/>
      <c r="E541" s="47" t="n"/>
      <c r="F541" s="47" t="n"/>
      <c r="G541" s="47" t="n"/>
      <c r="J541" s="48" t="n"/>
      <c r="K541" s="48" t="n"/>
      <c r="N541" s="47" t="n"/>
      <c r="O541" s="47" t="n"/>
      <c r="Q541" s="49">
        <f>IF(A541="","",IFERROR(INDEX('Famílias'!$E:$E,MATCH(A541,'Famílias'!$A:$A,0)),"família não cadastrada"))</f>
        <v/>
      </c>
      <c r="R541" s="50" t="n"/>
      <c r="S541" s="50" t="n"/>
      <c r="T541" s="50" t="n"/>
      <c r="U541" s="50" t="n"/>
    </row>
    <row r="542">
      <c r="B542" s="45" t="n"/>
      <c r="C542" s="46" t="n"/>
      <c r="E542" s="47" t="n"/>
      <c r="F542" s="47" t="n"/>
      <c r="G542" s="47" t="n"/>
      <c r="J542" s="48" t="n"/>
      <c r="K542" s="48" t="n"/>
      <c r="N542" s="47" t="n"/>
      <c r="O542" s="47" t="n"/>
      <c r="Q542" s="49">
        <f>IF(A542="","",IFERROR(INDEX('Famílias'!$E:$E,MATCH(A542,'Famílias'!$A:$A,0)),"família não cadastrada"))</f>
        <v/>
      </c>
      <c r="R542" s="50" t="n"/>
      <c r="S542" s="50" t="n"/>
      <c r="T542" s="50" t="n"/>
      <c r="U542" s="50" t="n"/>
    </row>
    <row r="543">
      <c r="B543" s="45" t="n"/>
      <c r="C543" s="46" t="n"/>
      <c r="E543" s="47" t="n"/>
      <c r="F543" s="47" t="n"/>
      <c r="G543" s="47" t="n"/>
      <c r="J543" s="48" t="n"/>
      <c r="K543" s="48" t="n"/>
      <c r="N543" s="47" t="n"/>
      <c r="O543" s="47" t="n"/>
      <c r="Q543" s="49">
        <f>IF(A543="","",IFERROR(INDEX('Famílias'!$E:$E,MATCH(A543,'Famílias'!$A:$A,0)),"família não cadastrada"))</f>
        <v/>
      </c>
      <c r="R543" s="50" t="n"/>
      <c r="S543" s="50" t="n"/>
      <c r="T543" s="50" t="n"/>
      <c r="U543" s="50" t="n"/>
    </row>
    <row r="544">
      <c r="B544" s="45" t="n"/>
      <c r="C544" s="46" t="n"/>
      <c r="E544" s="47" t="n"/>
      <c r="F544" s="47" t="n"/>
      <c r="G544" s="47" t="n"/>
      <c r="J544" s="48" t="n"/>
      <c r="K544" s="48" t="n"/>
      <c r="N544" s="47" t="n"/>
      <c r="O544" s="47" t="n"/>
      <c r="Q544" s="49">
        <f>IF(A544="","",IFERROR(INDEX('Famílias'!$E:$E,MATCH(A544,'Famílias'!$A:$A,0)),"família não cadastrada"))</f>
        <v/>
      </c>
      <c r="R544" s="50" t="n"/>
      <c r="S544" s="50" t="n"/>
      <c r="T544" s="50" t="n"/>
      <c r="U544" s="50" t="n"/>
    </row>
    <row r="545">
      <c r="B545" s="45" t="n"/>
      <c r="C545" s="46" t="n"/>
      <c r="E545" s="47" t="n"/>
      <c r="F545" s="47" t="n"/>
      <c r="G545" s="47" t="n"/>
      <c r="J545" s="48" t="n"/>
      <c r="K545" s="48" t="n"/>
      <c r="N545" s="47" t="n"/>
      <c r="O545" s="47" t="n"/>
      <c r="Q545" s="49">
        <f>IF(A545="","",IFERROR(INDEX('Famílias'!$E:$E,MATCH(A545,'Famílias'!$A:$A,0)),"família não cadastrada"))</f>
        <v/>
      </c>
      <c r="R545" s="50" t="n"/>
      <c r="S545" s="50" t="n"/>
      <c r="T545" s="50" t="n"/>
      <c r="U545" s="50" t="n"/>
    </row>
    <row r="546">
      <c r="B546" s="45" t="n"/>
      <c r="C546" s="46" t="n"/>
      <c r="E546" s="47" t="n"/>
      <c r="F546" s="47" t="n"/>
      <c r="G546" s="47" t="n"/>
      <c r="J546" s="48" t="n"/>
      <c r="K546" s="48" t="n"/>
      <c r="N546" s="47" t="n"/>
      <c r="O546" s="47" t="n"/>
      <c r="Q546" s="49">
        <f>IF(A546="","",IFERROR(INDEX('Famílias'!$E:$E,MATCH(A546,'Famílias'!$A:$A,0)),"família não cadastrada"))</f>
        <v/>
      </c>
      <c r="R546" s="50" t="n"/>
      <c r="S546" s="50" t="n"/>
      <c r="T546" s="50" t="n"/>
      <c r="U546" s="50" t="n"/>
    </row>
    <row r="547">
      <c r="B547" s="45" t="n"/>
      <c r="C547" s="46" t="n"/>
      <c r="E547" s="47" t="n"/>
      <c r="F547" s="47" t="n"/>
      <c r="G547" s="47" t="n"/>
      <c r="J547" s="48" t="n"/>
      <c r="K547" s="48" t="n"/>
      <c r="N547" s="47" t="n"/>
      <c r="O547" s="47" t="n"/>
      <c r="Q547" s="49">
        <f>IF(A547="","",IFERROR(INDEX('Famílias'!$E:$E,MATCH(A547,'Famílias'!$A:$A,0)),"família não cadastrada"))</f>
        <v/>
      </c>
      <c r="R547" s="50" t="n"/>
      <c r="S547" s="50" t="n"/>
      <c r="T547" s="50" t="n"/>
      <c r="U547" s="50" t="n"/>
    </row>
    <row r="548">
      <c r="B548" s="45" t="n"/>
      <c r="C548" s="46" t="n"/>
      <c r="E548" s="47" t="n"/>
      <c r="F548" s="47" t="n"/>
      <c r="G548" s="47" t="n"/>
      <c r="J548" s="48" t="n"/>
      <c r="K548" s="48" t="n"/>
      <c r="N548" s="47" t="n"/>
      <c r="O548" s="47" t="n"/>
      <c r="Q548" s="49">
        <f>IF(A548="","",IFERROR(INDEX('Famílias'!$E:$E,MATCH(A548,'Famílias'!$A:$A,0)),"família não cadastrada"))</f>
        <v/>
      </c>
      <c r="R548" s="50" t="n"/>
      <c r="S548" s="50" t="n"/>
      <c r="T548" s="50" t="n"/>
      <c r="U548" s="50" t="n"/>
    </row>
    <row r="549">
      <c r="B549" s="45" t="n"/>
      <c r="C549" s="46" t="n"/>
      <c r="E549" s="47" t="n"/>
      <c r="F549" s="47" t="n"/>
      <c r="G549" s="47" t="n"/>
      <c r="J549" s="48" t="n"/>
      <c r="K549" s="48" t="n"/>
      <c r="N549" s="47" t="n"/>
      <c r="O549" s="47" t="n"/>
      <c r="Q549" s="49">
        <f>IF(A549="","",IFERROR(INDEX('Famílias'!$E:$E,MATCH(A549,'Famílias'!$A:$A,0)),"família não cadastrada"))</f>
        <v/>
      </c>
      <c r="R549" s="50" t="n"/>
      <c r="S549" s="50" t="n"/>
      <c r="T549" s="50" t="n"/>
      <c r="U549" s="50" t="n"/>
    </row>
    <row r="550">
      <c r="B550" s="45" t="n"/>
      <c r="C550" s="46" t="n"/>
      <c r="E550" s="47" t="n"/>
      <c r="F550" s="47" t="n"/>
      <c r="G550" s="47" t="n"/>
      <c r="J550" s="48" t="n"/>
      <c r="K550" s="48" t="n"/>
      <c r="N550" s="47" t="n"/>
      <c r="O550" s="47" t="n"/>
      <c r="Q550" s="49">
        <f>IF(A550="","",IFERROR(INDEX('Famílias'!$E:$E,MATCH(A550,'Famílias'!$A:$A,0)),"família não cadastrada"))</f>
        <v/>
      </c>
      <c r="R550" s="50" t="n"/>
      <c r="S550" s="50" t="n"/>
      <c r="T550" s="50" t="n"/>
      <c r="U550" s="50" t="n"/>
    </row>
    <row r="551">
      <c r="B551" s="45" t="n"/>
      <c r="C551" s="46" t="n"/>
      <c r="E551" s="47" t="n"/>
      <c r="F551" s="47" t="n"/>
      <c r="G551" s="47" t="n"/>
      <c r="J551" s="48" t="n"/>
      <c r="K551" s="48" t="n"/>
      <c r="N551" s="47" t="n"/>
      <c r="O551" s="47" t="n"/>
      <c r="Q551" s="49">
        <f>IF(A551="","",IFERROR(INDEX('Famílias'!$E:$E,MATCH(A551,'Famílias'!$A:$A,0)),"família não cadastrada"))</f>
        <v/>
      </c>
      <c r="R551" s="50" t="n"/>
      <c r="S551" s="50" t="n"/>
      <c r="T551" s="50" t="n"/>
      <c r="U551" s="50" t="n"/>
    </row>
    <row r="552">
      <c r="B552" s="45" t="n"/>
      <c r="C552" s="46" t="n"/>
      <c r="E552" s="47" t="n"/>
      <c r="F552" s="47" t="n"/>
      <c r="G552" s="47" t="n"/>
      <c r="J552" s="48" t="n"/>
      <c r="K552" s="48" t="n"/>
      <c r="N552" s="47" t="n"/>
      <c r="O552" s="47" t="n"/>
      <c r="Q552" s="49">
        <f>IF(A552="","",IFERROR(INDEX('Famílias'!$E:$E,MATCH(A552,'Famílias'!$A:$A,0)),"família não cadastrada"))</f>
        <v/>
      </c>
      <c r="R552" s="50" t="n"/>
      <c r="S552" s="50" t="n"/>
      <c r="T552" s="50" t="n"/>
      <c r="U552" s="50" t="n"/>
    </row>
    <row r="553">
      <c r="B553" s="45" t="n"/>
      <c r="C553" s="46" t="n"/>
      <c r="E553" s="47" t="n"/>
      <c r="F553" s="47" t="n"/>
      <c r="G553" s="47" t="n"/>
      <c r="J553" s="48" t="n"/>
      <c r="K553" s="48" t="n"/>
      <c r="N553" s="47" t="n"/>
      <c r="O553" s="47" t="n"/>
      <c r="Q553" s="49">
        <f>IF(A553="","",IFERROR(INDEX('Famílias'!$E:$E,MATCH(A553,'Famílias'!$A:$A,0)),"família não cadastrada"))</f>
        <v/>
      </c>
      <c r="R553" s="50" t="n"/>
      <c r="S553" s="50" t="n"/>
      <c r="T553" s="50" t="n"/>
      <c r="U553" s="50" t="n"/>
    </row>
    <row r="554">
      <c r="B554" s="45" t="n"/>
      <c r="C554" s="46" t="n"/>
      <c r="E554" s="47" t="n"/>
      <c r="F554" s="47" t="n"/>
      <c r="G554" s="47" t="n"/>
      <c r="J554" s="48" t="n"/>
      <c r="K554" s="48" t="n"/>
      <c r="N554" s="47" t="n"/>
      <c r="O554" s="47" t="n"/>
      <c r="Q554" s="49">
        <f>IF(A554="","",IFERROR(INDEX('Famílias'!$E:$E,MATCH(A554,'Famílias'!$A:$A,0)),"família não cadastrada"))</f>
        <v/>
      </c>
      <c r="R554" s="50" t="n"/>
      <c r="S554" s="50" t="n"/>
      <c r="T554" s="50" t="n"/>
      <c r="U554" s="50" t="n"/>
    </row>
    <row r="555">
      <c r="B555" s="45" t="n"/>
      <c r="C555" s="46" t="n"/>
      <c r="E555" s="47" t="n"/>
      <c r="F555" s="47" t="n"/>
      <c r="G555" s="47" t="n"/>
      <c r="J555" s="48" t="n"/>
      <c r="K555" s="48" t="n"/>
      <c r="N555" s="47" t="n"/>
      <c r="O555" s="47" t="n"/>
      <c r="Q555" s="49">
        <f>IF(A555="","",IFERROR(INDEX('Famílias'!$E:$E,MATCH(A555,'Famílias'!$A:$A,0)),"família não cadastrada"))</f>
        <v/>
      </c>
      <c r="R555" s="50" t="n"/>
      <c r="S555" s="50" t="n"/>
      <c r="T555" s="50" t="n"/>
      <c r="U555" s="50" t="n"/>
    </row>
    <row r="556">
      <c r="B556" s="45" t="n"/>
      <c r="C556" s="46" t="n"/>
      <c r="E556" s="47" t="n"/>
      <c r="F556" s="47" t="n"/>
      <c r="G556" s="47" t="n"/>
      <c r="J556" s="48" t="n"/>
      <c r="K556" s="48" t="n"/>
      <c r="N556" s="47" t="n"/>
      <c r="O556" s="47" t="n"/>
      <c r="Q556" s="49">
        <f>IF(A556="","",IFERROR(INDEX('Famílias'!$E:$E,MATCH(A556,'Famílias'!$A:$A,0)),"família não cadastrada"))</f>
        <v/>
      </c>
      <c r="R556" s="50" t="n"/>
      <c r="S556" s="50" t="n"/>
      <c r="T556" s="50" t="n"/>
      <c r="U556" s="50" t="n"/>
    </row>
    <row r="557">
      <c r="B557" s="45" t="n"/>
      <c r="C557" s="46" t="n"/>
      <c r="E557" s="47" t="n"/>
      <c r="F557" s="47" t="n"/>
      <c r="G557" s="47" t="n"/>
      <c r="J557" s="48" t="n"/>
      <c r="K557" s="48" t="n"/>
      <c r="N557" s="47" t="n"/>
      <c r="O557" s="47" t="n"/>
      <c r="Q557" s="49">
        <f>IF(A557="","",IFERROR(INDEX('Famílias'!$E:$E,MATCH(A557,'Famílias'!$A:$A,0)),"família não cadastrada"))</f>
        <v/>
      </c>
      <c r="R557" s="50" t="n"/>
      <c r="S557" s="50" t="n"/>
      <c r="T557" s="50" t="n"/>
      <c r="U557" s="50" t="n"/>
    </row>
    <row r="558">
      <c r="B558" s="45" t="n"/>
      <c r="C558" s="46" t="n"/>
      <c r="E558" s="47" t="n"/>
      <c r="F558" s="47" t="n"/>
      <c r="G558" s="47" t="n"/>
      <c r="J558" s="48" t="n"/>
      <c r="K558" s="48" t="n"/>
      <c r="N558" s="47" t="n"/>
      <c r="O558" s="47" t="n"/>
      <c r="Q558" s="49">
        <f>IF(A558="","",IFERROR(INDEX('Famílias'!$E:$E,MATCH(A558,'Famílias'!$A:$A,0)),"família não cadastrada"))</f>
        <v/>
      </c>
      <c r="R558" s="50" t="n"/>
      <c r="S558" s="50" t="n"/>
      <c r="T558" s="50" t="n"/>
      <c r="U558" s="50" t="n"/>
    </row>
    <row r="559">
      <c r="B559" s="45" t="n"/>
      <c r="C559" s="46" t="n"/>
      <c r="E559" s="47" t="n"/>
      <c r="F559" s="47" t="n"/>
      <c r="G559" s="47" t="n"/>
      <c r="J559" s="48" t="n"/>
      <c r="K559" s="48" t="n"/>
      <c r="N559" s="47" t="n"/>
      <c r="O559" s="47" t="n"/>
      <c r="Q559" s="49">
        <f>IF(A559="","",IFERROR(INDEX('Famílias'!$E:$E,MATCH(A559,'Famílias'!$A:$A,0)),"família não cadastrada"))</f>
        <v/>
      </c>
      <c r="R559" s="50" t="n"/>
      <c r="S559" s="50" t="n"/>
      <c r="T559" s="50" t="n"/>
      <c r="U559" s="50" t="n"/>
    </row>
    <row r="560">
      <c r="B560" s="45" t="n"/>
      <c r="C560" s="46" t="n"/>
      <c r="E560" s="47" t="n"/>
      <c r="F560" s="47" t="n"/>
      <c r="G560" s="47" t="n"/>
      <c r="J560" s="48" t="n"/>
      <c r="K560" s="48" t="n"/>
      <c r="N560" s="47" t="n"/>
      <c r="O560" s="47" t="n"/>
      <c r="Q560" s="49">
        <f>IF(A560="","",IFERROR(INDEX('Famílias'!$E:$E,MATCH(A560,'Famílias'!$A:$A,0)),"família não cadastrada"))</f>
        <v/>
      </c>
      <c r="R560" s="50" t="n"/>
      <c r="S560" s="50" t="n"/>
      <c r="T560" s="50" t="n"/>
      <c r="U560" s="50" t="n"/>
    </row>
    <row r="561">
      <c r="B561" s="45" t="n"/>
      <c r="C561" s="46" t="n"/>
      <c r="E561" s="47" t="n"/>
      <c r="F561" s="47" t="n"/>
      <c r="G561" s="47" t="n"/>
      <c r="J561" s="48" t="n"/>
      <c r="K561" s="48" t="n"/>
      <c r="N561" s="47" t="n"/>
      <c r="O561" s="47" t="n"/>
      <c r="Q561" s="49">
        <f>IF(A561="","",IFERROR(INDEX('Famílias'!$E:$E,MATCH(A561,'Famílias'!$A:$A,0)),"família não cadastrada"))</f>
        <v/>
      </c>
      <c r="R561" s="50" t="n"/>
      <c r="S561" s="50" t="n"/>
      <c r="T561" s="50" t="n"/>
      <c r="U561" s="50" t="n"/>
    </row>
    <row r="562">
      <c r="B562" s="45" t="n"/>
      <c r="C562" s="46" t="n"/>
      <c r="E562" s="47" t="n"/>
      <c r="F562" s="47" t="n"/>
      <c r="G562" s="47" t="n"/>
      <c r="J562" s="48" t="n"/>
      <c r="K562" s="48" t="n"/>
      <c r="N562" s="47" t="n"/>
      <c r="O562" s="47" t="n"/>
      <c r="Q562" s="49">
        <f>IF(A562="","",IFERROR(INDEX('Famílias'!$E:$E,MATCH(A562,'Famílias'!$A:$A,0)),"família não cadastrada"))</f>
        <v/>
      </c>
      <c r="R562" s="50" t="n"/>
      <c r="S562" s="50" t="n"/>
      <c r="T562" s="50" t="n"/>
      <c r="U562" s="50" t="n"/>
    </row>
    <row r="563">
      <c r="B563" s="45" t="n"/>
      <c r="C563" s="46" t="n"/>
      <c r="E563" s="47" t="n"/>
      <c r="F563" s="47" t="n"/>
      <c r="G563" s="47" t="n"/>
      <c r="J563" s="48" t="n"/>
      <c r="K563" s="48" t="n"/>
      <c r="N563" s="47" t="n"/>
      <c r="O563" s="47" t="n"/>
      <c r="Q563" s="49">
        <f>IF(A563="","",IFERROR(INDEX('Famílias'!$E:$E,MATCH(A563,'Famílias'!$A:$A,0)),"família não cadastrada"))</f>
        <v/>
      </c>
      <c r="R563" s="50" t="n"/>
      <c r="S563" s="50" t="n"/>
      <c r="T563" s="50" t="n"/>
      <c r="U563" s="50" t="n"/>
    </row>
    <row r="564">
      <c r="B564" s="45" t="n"/>
      <c r="C564" s="46" t="n"/>
      <c r="E564" s="47" t="n"/>
      <c r="F564" s="47" t="n"/>
      <c r="G564" s="47" t="n"/>
      <c r="J564" s="48" t="n"/>
      <c r="K564" s="48" t="n"/>
      <c r="N564" s="47" t="n"/>
      <c r="O564" s="47" t="n"/>
      <c r="Q564" s="49">
        <f>IF(A564="","",IFERROR(INDEX('Famílias'!$E:$E,MATCH(A564,'Famílias'!$A:$A,0)),"família não cadastrada"))</f>
        <v/>
      </c>
      <c r="R564" s="50" t="n"/>
      <c r="S564" s="50" t="n"/>
      <c r="T564" s="50" t="n"/>
      <c r="U564" s="50" t="n"/>
    </row>
    <row r="565">
      <c r="B565" s="45" t="n"/>
      <c r="C565" s="46" t="n"/>
      <c r="E565" s="47" t="n"/>
      <c r="F565" s="47" t="n"/>
      <c r="G565" s="47" t="n"/>
      <c r="J565" s="48" t="n"/>
      <c r="K565" s="48" t="n"/>
      <c r="N565" s="47" t="n"/>
      <c r="O565" s="47" t="n"/>
      <c r="Q565" s="49">
        <f>IF(A565="","",IFERROR(INDEX('Famílias'!$E:$E,MATCH(A565,'Famílias'!$A:$A,0)),"família não cadastrada"))</f>
        <v/>
      </c>
      <c r="R565" s="50" t="n"/>
      <c r="S565" s="50" t="n"/>
      <c r="T565" s="50" t="n"/>
      <c r="U565" s="50" t="n"/>
    </row>
    <row r="566">
      <c r="B566" s="45" t="n"/>
      <c r="C566" s="46" t="n"/>
      <c r="E566" s="47" t="n"/>
      <c r="F566" s="47" t="n"/>
      <c r="G566" s="47" t="n"/>
      <c r="J566" s="48" t="n"/>
      <c r="K566" s="48" t="n"/>
      <c r="N566" s="47" t="n"/>
      <c r="O566" s="47" t="n"/>
      <c r="Q566" s="49">
        <f>IF(A566="","",IFERROR(INDEX('Famílias'!$E:$E,MATCH(A566,'Famílias'!$A:$A,0)),"família não cadastrada"))</f>
        <v/>
      </c>
      <c r="R566" s="50" t="n"/>
      <c r="S566" s="50" t="n"/>
      <c r="T566" s="50" t="n"/>
      <c r="U566" s="50" t="n"/>
    </row>
    <row r="567">
      <c r="B567" s="45" t="n"/>
      <c r="C567" s="46" t="n"/>
      <c r="E567" s="47" t="n"/>
      <c r="F567" s="47" t="n"/>
      <c r="G567" s="47" t="n"/>
      <c r="J567" s="48" t="n"/>
      <c r="K567" s="48" t="n"/>
      <c r="N567" s="47" t="n"/>
      <c r="O567" s="47" t="n"/>
      <c r="Q567" s="49">
        <f>IF(A567="","",IFERROR(INDEX('Famílias'!$E:$E,MATCH(A567,'Famílias'!$A:$A,0)),"família não cadastrada"))</f>
        <v/>
      </c>
      <c r="R567" s="50" t="n"/>
      <c r="S567" s="50" t="n"/>
      <c r="T567" s="50" t="n"/>
      <c r="U567" s="50" t="n"/>
    </row>
    <row r="568">
      <c r="B568" s="45" t="n"/>
      <c r="C568" s="46" t="n"/>
      <c r="E568" s="47" t="n"/>
      <c r="F568" s="47" t="n"/>
      <c r="G568" s="47" t="n"/>
      <c r="J568" s="48" t="n"/>
      <c r="K568" s="48" t="n"/>
      <c r="N568" s="47" t="n"/>
      <c r="O568" s="47" t="n"/>
      <c r="Q568" s="49">
        <f>IF(A568="","",IFERROR(INDEX('Famílias'!$E:$E,MATCH(A568,'Famílias'!$A:$A,0)),"família não cadastrada"))</f>
        <v/>
      </c>
      <c r="R568" s="50" t="n"/>
      <c r="S568" s="50" t="n"/>
      <c r="T568" s="50" t="n"/>
      <c r="U568" s="50" t="n"/>
    </row>
    <row r="569">
      <c r="B569" s="45" t="n"/>
      <c r="C569" s="46" t="n"/>
      <c r="E569" s="47" t="n"/>
      <c r="F569" s="47" t="n"/>
      <c r="G569" s="47" t="n"/>
      <c r="J569" s="48" t="n"/>
      <c r="K569" s="48" t="n"/>
      <c r="N569" s="47" t="n"/>
      <c r="O569" s="47" t="n"/>
      <c r="Q569" s="49">
        <f>IF(A569="","",IFERROR(INDEX('Famílias'!$E:$E,MATCH(A569,'Famílias'!$A:$A,0)),"família não cadastrada"))</f>
        <v/>
      </c>
      <c r="R569" s="50" t="n"/>
      <c r="S569" s="50" t="n"/>
      <c r="T569" s="50" t="n"/>
      <c r="U569" s="50" t="n"/>
    </row>
    <row r="570">
      <c r="B570" s="45" t="n"/>
      <c r="C570" s="46" t="n"/>
      <c r="E570" s="47" t="n"/>
      <c r="F570" s="47" t="n"/>
      <c r="G570" s="47" t="n"/>
      <c r="J570" s="48" t="n"/>
      <c r="K570" s="48" t="n"/>
      <c r="N570" s="47" t="n"/>
      <c r="O570" s="47" t="n"/>
      <c r="Q570" s="49">
        <f>IF(A570="","",IFERROR(INDEX('Famílias'!$E:$E,MATCH(A570,'Famílias'!$A:$A,0)),"família não cadastrada"))</f>
        <v/>
      </c>
      <c r="R570" s="50" t="n"/>
      <c r="S570" s="50" t="n"/>
      <c r="T570" s="50" t="n"/>
      <c r="U570" s="50" t="n"/>
    </row>
    <row r="571">
      <c r="B571" s="45" t="n"/>
      <c r="C571" s="46" t="n"/>
      <c r="E571" s="47" t="n"/>
      <c r="F571" s="47" t="n"/>
      <c r="G571" s="47" t="n"/>
      <c r="J571" s="48" t="n"/>
      <c r="K571" s="48" t="n"/>
      <c r="N571" s="47" t="n"/>
      <c r="O571" s="47" t="n"/>
      <c r="Q571" s="49">
        <f>IF(A571="","",IFERROR(INDEX('Famílias'!$E:$E,MATCH(A571,'Famílias'!$A:$A,0)),"família não cadastrada"))</f>
        <v/>
      </c>
      <c r="R571" s="50" t="n"/>
      <c r="S571" s="50" t="n"/>
      <c r="T571" s="50" t="n"/>
      <c r="U571" s="50" t="n"/>
    </row>
    <row r="572">
      <c r="B572" s="45" t="n"/>
      <c r="C572" s="46" t="n"/>
      <c r="E572" s="47" t="n"/>
      <c r="F572" s="47" t="n"/>
      <c r="G572" s="47" t="n"/>
      <c r="J572" s="48" t="n"/>
      <c r="K572" s="48" t="n"/>
      <c r="N572" s="47" t="n"/>
      <c r="O572" s="47" t="n"/>
      <c r="Q572" s="49">
        <f>IF(A572="","",IFERROR(INDEX('Famílias'!$E:$E,MATCH(A572,'Famílias'!$A:$A,0)),"família não cadastrada"))</f>
        <v/>
      </c>
      <c r="R572" s="50" t="n"/>
      <c r="S572" s="50" t="n"/>
      <c r="T572" s="50" t="n"/>
      <c r="U572" s="50" t="n"/>
    </row>
    <row r="573">
      <c r="B573" s="45" t="n"/>
      <c r="C573" s="46" t="n"/>
      <c r="E573" s="47" t="n"/>
      <c r="F573" s="47" t="n"/>
      <c r="G573" s="47" t="n"/>
      <c r="J573" s="48" t="n"/>
      <c r="K573" s="48" t="n"/>
      <c r="N573" s="47" t="n"/>
      <c r="O573" s="47" t="n"/>
      <c r="Q573" s="49">
        <f>IF(A573="","",IFERROR(INDEX('Famílias'!$E:$E,MATCH(A573,'Famílias'!$A:$A,0)),"família não cadastrada"))</f>
        <v/>
      </c>
      <c r="R573" s="50" t="n"/>
      <c r="S573" s="50" t="n"/>
      <c r="T573" s="50" t="n"/>
      <c r="U573" s="50" t="n"/>
    </row>
    <row r="574">
      <c r="B574" s="45" t="n"/>
      <c r="C574" s="46" t="n"/>
      <c r="E574" s="47" t="n"/>
      <c r="F574" s="47" t="n"/>
      <c r="G574" s="47" t="n"/>
      <c r="J574" s="48" t="n"/>
      <c r="K574" s="48" t="n"/>
      <c r="N574" s="47" t="n"/>
      <c r="O574" s="47" t="n"/>
      <c r="Q574" s="49">
        <f>IF(A574="","",IFERROR(INDEX('Famílias'!$E:$E,MATCH(A574,'Famílias'!$A:$A,0)),"família não cadastrada"))</f>
        <v/>
      </c>
      <c r="R574" s="50" t="n"/>
      <c r="S574" s="50" t="n"/>
      <c r="T574" s="50" t="n"/>
      <c r="U574" s="50" t="n"/>
    </row>
    <row r="575">
      <c r="B575" s="45" t="n"/>
      <c r="C575" s="46" t="n"/>
      <c r="E575" s="47" t="n"/>
      <c r="F575" s="47" t="n"/>
      <c r="G575" s="47" t="n"/>
      <c r="J575" s="48" t="n"/>
      <c r="K575" s="48" t="n"/>
      <c r="N575" s="47" t="n"/>
      <c r="O575" s="47" t="n"/>
      <c r="Q575" s="49">
        <f>IF(A575="","",IFERROR(INDEX('Famílias'!$E:$E,MATCH(A575,'Famílias'!$A:$A,0)),"família não cadastrada"))</f>
        <v/>
      </c>
      <c r="R575" s="50" t="n"/>
      <c r="S575" s="50" t="n"/>
      <c r="T575" s="50" t="n"/>
      <c r="U575" s="50" t="n"/>
    </row>
    <row r="576">
      <c r="B576" s="45" t="n"/>
      <c r="C576" s="46" t="n"/>
      <c r="E576" s="47" t="n"/>
      <c r="F576" s="47" t="n"/>
      <c r="G576" s="47" t="n"/>
      <c r="J576" s="48" t="n"/>
      <c r="K576" s="48" t="n"/>
      <c r="N576" s="47" t="n"/>
      <c r="O576" s="47" t="n"/>
      <c r="Q576" s="49">
        <f>IF(A576="","",IFERROR(INDEX('Famílias'!$E:$E,MATCH(A576,'Famílias'!$A:$A,0)),"família não cadastrada"))</f>
        <v/>
      </c>
      <c r="R576" s="50" t="n"/>
      <c r="S576" s="50" t="n"/>
      <c r="T576" s="50" t="n"/>
      <c r="U576" s="50" t="n"/>
    </row>
    <row r="577">
      <c r="B577" s="45" t="n"/>
      <c r="C577" s="46" t="n"/>
      <c r="E577" s="47" t="n"/>
      <c r="F577" s="47" t="n"/>
      <c r="G577" s="47" t="n"/>
      <c r="J577" s="48" t="n"/>
      <c r="K577" s="48" t="n"/>
      <c r="N577" s="47" t="n"/>
      <c r="O577" s="47" t="n"/>
      <c r="Q577" s="49">
        <f>IF(A577="","",IFERROR(INDEX('Famílias'!$E:$E,MATCH(A577,'Famílias'!$A:$A,0)),"família não cadastrada"))</f>
        <v/>
      </c>
      <c r="R577" s="50" t="n"/>
      <c r="S577" s="50" t="n"/>
      <c r="T577" s="50" t="n"/>
      <c r="U577" s="50" t="n"/>
    </row>
    <row r="578">
      <c r="B578" s="45" t="n"/>
      <c r="C578" s="46" t="n"/>
      <c r="E578" s="47" t="n"/>
      <c r="F578" s="47" t="n"/>
      <c r="G578" s="47" t="n"/>
      <c r="J578" s="48" t="n"/>
      <c r="K578" s="48" t="n"/>
      <c r="N578" s="47" t="n"/>
      <c r="O578" s="47" t="n"/>
      <c r="Q578" s="49">
        <f>IF(A578="","",IFERROR(INDEX('Famílias'!$E:$E,MATCH(A578,'Famílias'!$A:$A,0)),"família não cadastrada"))</f>
        <v/>
      </c>
      <c r="R578" s="50" t="n"/>
      <c r="S578" s="50" t="n"/>
      <c r="T578" s="50" t="n"/>
      <c r="U578" s="50" t="n"/>
    </row>
    <row r="579">
      <c r="B579" s="45" t="n"/>
      <c r="C579" s="46" t="n"/>
      <c r="E579" s="47" t="n"/>
      <c r="F579" s="47" t="n"/>
      <c r="G579" s="47" t="n"/>
      <c r="J579" s="48" t="n"/>
      <c r="K579" s="48" t="n"/>
      <c r="N579" s="47" t="n"/>
      <c r="O579" s="47" t="n"/>
      <c r="Q579" s="49">
        <f>IF(A579="","",IFERROR(INDEX('Famílias'!$E:$E,MATCH(A579,'Famílias'!$A:$A,0)),"família não cadastrada"))</f>
        <v/>
      </c>
      <c r="R579" s="50" t="n"/>
      <c r="S579" s="50" t="n"/>
      <c r="T579" s="50" t="n"/>
      <c r="U579" s="50" t="n"/>
    </row>
    <row r="580">
      <c r="B580" s="45" t="n"/>
      <c r="C580" s="46" t="n"/>
      <c r="E580" s="47" t="n"/>
      <c r="F580" s="47" t="n"/>
      <c r="G580" s="47" t="n"/>
      <c r="J580" s="48" t="n"/>
      <c r="K580" s="48" t="n"/>
      <c r="N580" s="47" t="n"/>
      <c r="O580" s="47" t="n"/>
      <c r="Q580" s="49">
        <f>IF(A580="","",IFERROR(INDEX('Famílias'!$E:$E,MATCH(A580,'Famílias'!$A:$A,0)),"família não cadastrada"))</f>
        <v/>
      </c>
      <c r="R580" s="50" t="n"/>
      <c r="S580" s="50" t="n"/>
      <c r="T580" s="50" t="n"/>
      <c r="U580" s="50" t="n"/>
    </row>
    <row r="581">
      <c r="B581" s="45" t="n"/>
      <c r="C581" s="46" t="n"/>
      <c r="E581" s="47" t="n"/>
      <c r="F581" s="47" t="n"/>
      <c r="G581" s="47" t="n"/>
      <c r="J581" s="48" t="n"/>
      <c r="K581" s="48" t="n"/>
      <c r="N581" s="47" t="n"/>
      <c r="O581" s="47" t="n"/>
      <c r="Q581" s="49">
        <f>IF(A581="","",IFERROR(INDEX('Famílias'!$E:$E,MATCH(A581,'Famílias'!$A:$A,0)),"família não cadastrada"))</f>
        <v/>
      </c>
      <c r="R581" s="50" t="n"/>
      <c r="S581" s="50" t="n"/>
      <c r="T581" s="50" t="n"/>
      <c r="U581" s="50" t="n"/>
    </row>
    <row r="582">
      <c r="B582" s="45" t="n"/>
      <c r="C582" s="46" t="n"/>
      <c r="E582" s="47" t="n"/>
      <c r="F582" s="47" t="n"/>
      <c r="G582" s="47" t="n"/>
      <c r="J582" s="48" t="n"/>
      <c r="K582" s="48" t="n"/>
      <c r="N582" s="47" t="n"/>
      <c r="O582" s="47" t="n"/>
      <c r="Q582" s="49">
        <f>IF(A582="","",IFERROR(INDEX('Famílias'!$E:$E,MATCH(A582,'Famílias'!$A:$A,0)),"família não cadastrada"))</f>
        <v/>
      </c>
      <c r="R582" s="50" t="n"/>
      <c r="S582" s="50" t="n"/>
      <c r="T582" s="50" t="n"/>
      <c r="U582" s="50" t="n"/>
    </row>
    <row r="583">
      <c r="B583" s="45" t="n"/>
      <c r="C583" s="46" t="n"/>
      <c r="E583" s="47" t="n"/>
      <c r="F583" s="47" t="n"/>
      <c r="G583" s="47" t="n"/>
      <c r="J583" s="48" t="n"/>
      <c r="K583" s="48" t="n"/>
      <c r="N583" s="47" t="n"/>
      <c r="O583" s="47" t="n"/>
      <c r="Q583" s="49">
        <f>IF(A583="","",IFERROR(INDEX('Famílias'!$E:$E,MATCH(A583,'Famílias'!$A:$A,0)),"família não cadastrada"))</f>
        <v/>
      </c>
      <c r="R583" s="50" t="n"/>
      <c r="S583" s="50" t="n"/>
      <c r="T583" s="50" t="n"/>
      <c r="U583" s="50" t="n"/>
    </row>
    <row r="584">
      <c r="B584" s="45" t="n"/>
      <c r="C584" s="46" t="n"/>
      <c r="E584" s="47" t="n"/>
      <c r="F584" s="47" t="n"/>
      <c r="G584" s="47" t="n"/>
      <c r="J584" s="48" t="n"/>
      <c r="K584" s="48" t="n"/>
      <c r="N584" s="47" t="n"/>
      <c r="O584" s="47" t="n"/>
      <c r="Q584" s="49">
        <f>IF(A584="","",IFERROR(INDEX('Famílias'!$E:$E,MATCH(A584,'Famílias'!$A:$A,0)),"família não cadastrada"))</f>
        <v/>
      </c>
      <c r="R584" s="50" t="n"/>
      <c r="S584" s="50" t="n"/>
      <c r="T584" s="50" t="n"/>
      <c r="U584" s="50" t="n"/>
    </row>
    <row r="585">
      <c r="B585" s="45" t="n"/>
      <c r="C585" s="46" t="n"/>
      <c r="E585" s="47" t="n"/>
      <c r="F585" s="47" t="n"/>
      <c r="G585" s="47" t="n"/>
      <c r="J585" s="48" t="n"/>
      <c r="K585" s="48" t="n"/>
      <c r="N585" s="47" t="n"/>
      <c r="O585" s="47" t="n"/>
      <c r="Q585" s="49">
        <f>IF(A585="","",IFERROR(INDEX('Famílias'!$E:$E,MATCH(A585,'Famílias'!$A:$A,0)),"família não cadastrada"))</f>
        <v/>
      </c>
      <c r="R585" s="50" t="n"/>
      <c r="S585" s="50" t="n"/>
      <c r="T585" s="50" t="n"/>
      <c r="U585" s="50" t="n"/>
    </row>
    <row r="586">
      <c r="B586" s="45" t="n"/>
      <c r="C586" s="46" t="n"/>
      <c r="E586" s="47" t="n"/>
      <c r="F586" s="47" t="n"/>
      <c r="G586" s="47" t="n"/>
      <c r="J586" s="48" t="n"/>
      <c r="K586" s="48" t="n"/>
      <c r="N586" s="47" t="n"/>
      <c r="O586" s="47" t="n"/>
      <c r="Q586" s="49">
        <f>IF(A586="","",IFERROR(INDEX('Famílias'!$E:$E,MATCH(A586,'Famílias'!$A:$A,0)),"família não cadastrada"))</f>
        <v/>
      </c>
      <c r="R586" s="50" t="n"/>
      <c r="S586" s="50" t="n"/>
      <c r="T586" s="50" t="n"/>
      <c r="U586" s="50" t="n"/>
    </row>
    <row r="587">
      <c r="B587" s="45" t="n"/>
      <c r="C587" s="46" t="n"/>
      <c r="E587" s="47" t="n"/>
      <c r="F587" s="47" t="n"/>
      <c r="G587" s="47" t="n"/>
      <c r="J587" s="48" t="n"/>
      <c r="K587" s="48" t="n"/>
      <c r="N587" s="47" t="n"/>
      <c r="O587" s="47" t="n"/>
      <c r="Q587" s="49">
        <f>IF(A587="","",IFERROR(INDEX('Famílias'!$E:$E,MATCH(A587,'Famílias'!$A:$A,0)),"família não cadastrada"))</f>
        <v/>
      </c>
      <c r="R587" s="50" t="n"/>
      <c r="S587" s="50" t="n"/>
      <c r="T587" s="50" t="n"/>
      <c r="U587" s="50" t="n"/>
    </row>
    <row r="588">
      <c r="B588" s="45" t="n"/>
      <c r="C588" s="46" t="n"/>
      <c r="E588" s="47" t="n"/>
      <c r="F588" s="47" t="n"/>
      <c r="G588" s="47" t="n"/>
      <c r="J588" s="48" t="n"/>
      <c r="K588" s="48" t="n"/>
      <c r="N588" s="47" t="n"/>
      <c r="O588" s="47" t="n"/>
      <c r="Q588" s="49">
        <f>IF(A588="","",IFERROR(INDEX('Famílias'!$E:$E,MATCH(A588,'Famílias'!$A:$A,0)),"família não cadastrada"))</f>
        <v/>
      </c>
      <c r="R588" s="50" t="n"/>
      <c r="S588" s="50" t="n"/>
      <c r="T588" s="50" t="n"/>
      <c r="U588" s="50" t="n"/>
    </row>
    <row r="589">
      <c r="B589" s="45" t="n"/>
      <c r="C589" s="46" t="n"/>
      <c r="E589" s="47" t="n"/>
      <c r="F589" s="47" t="n"/>
      <c r="G589" s="47" t="n"/>
      <c r="J589" s="48" t="n"/>
      <c r="K589" s="48" t="n"/>
      <c r="N589" s="47" t="n"/>
      <c r="O589" s="47" t="n"/>
      <c r="Q589" s="49">
        <f>IF(A589="","",IFERROR(INDEX('Famílias'!$E:$E,MATCH(A589,'Famílias'!$A:$A,0)),"família não cadastrada"))</f>
        <v/>
      </c>
      <c r="R589" s="50" t="n"/>
      <c r="S589" s="50" t="n"/>
      <c r="T589" s="50" t="n"/>
      <c r="U589" s="50" t="n"/>
    </row>
    <row r="590">
      <c r="B590" s="45" t="n"/>
      <c r="C590" s="46" t="n"/>
      <c r="E590" s="47" t="n"/>
      <c r="F590" s="47" t="n"/>
      <c r="G590" s="47" t="n"/>
      <c r="J590" s="48" t="n"/>
      <c r="K590" s="48" t="n"/>
      <c r="N590" s="47" t="n"/>
      <c r="O590" s="47" t="n"/>
      <c r="Q590" s="49">
        <f>IF(A590="","",IFERROR(INDEX('Famílias'!$E:$E,MATCH(A590,'Famílias'!$A:$A,0)),"família não cadastrada"))</f>
        <v/>
      </c>
      <c r="R590" s="50" t="n"/>
      <c r="S590" s="50" t="n"/>
      <c r="T590" s="50" t="n"/>
      <c r="U590" s="50" t="n"/>
    </row>
    <row r="591">
      <c r="B591" s="45" t="n"/>
      <c r="C591" s="46" t="n"/>
      <c r="E591" s="47" t="n"/>
      <c r="F591" s="47" t="n"/>
      <c r="G591" s="47" t="n"/>
      <c r="J591" s="48" t="n"/>
      <c r="K591" s="48" t="n"/>
      <c r="N591" s="47" t="n"/>
      <c r="O591" s="47" t="n"/>
      <c r="Q591" s="49">
        <f>IF(A591="","",IFERROR(INDEX('Famílias'!$E:$E,MATCH(A591,'Famílias'!$A:$A,0)),"família não cadastrada"))</f>
        <v/>
      </c>
      <c r="R591" s="50" t="n"/>
      <c r="S591" s="50" t="n"/>
      <c r="T591" s="50" t="n"/>
      <c r="U591" s="50" t="n"/>
    </row>
    <row r="592">
      <c r="B592" s="45" t="n"/>
      <c r="C592" s="46" t="n"/>
      <c r="E592" s="47" t="n"/>
      <c r="F592" s="47" t="n"/>
      <c r="G592" s="47" t="n"/>
      <c r="J592" s="48" t="n"/>
      <c r="K592" s="48" t="n"/>
      <c r="N592" s="47" t="n"/>
      <c r="O592" s="47" t="n"/>
      <c r="Q592" s="49">
        <f>IF(A592="","",IFERROR(INDEX('Famílias'!$E:$E,MATCH(A592,'Famílias'!$A:$A,0)),"família não cadastrada"))</f>
        <v/>
      </c>
      <c r="R592" s="50" t="n"/>
      <c r="S592" s="50" t="n"/>
      <c r="T592" s="50" t="n"/>
      <c r="U592" s="50" t="n"/>
    </row>
    <row r="593">
      <c r="B593" s="45" t="n"/>
      <c r="C593" s="46" t="n"/>
      <c r="E593" s="47" t="n"/>
      <c r="F593" s="47" t="n"/>
      <c r="G593" s="47" t="n"/>
      <c r="J593" s="48" t="n"/>
      <c r="K593" s="48" t="n"/>
      <c r="N593" s="47" t="n"/>
      <c r="O593" s="47" t="n"/>
      <c r="Q593" s="49">
        <f>IF(A593="","",IFERROR(INDEX('Famílias'!$E:$E,MATCH(A593,'Famílias'!$A:$A,0)),"família não cadastrada"))</f>
        <v/>
      </c>
      <c r="R593" s="50" t="n"/>
      <c r="S593" s="50" t="n"/>
      <c r="T593" s="50" t="n"/>
      <c r="U593" s="50" t="n"/>
    </row>
    <row r="594">
      <c r="B594" s="45" t="n"/>
      <c r="C594" s="46" t="n"/>
      <c r="E594" s="47" t="n"/>
      <c r="F594" s="47" t="n"/>
      <c r="G594" s="47" t="n"/>
      <c r="J594" s="48" t="n"/>
      <c r="K594" s="48" t="n"/>
      <c r="N594" s="47" t="n"/>
      <c r="O594" s="47" t="n"/>
      <c r="Q594" s="49">
        <f>IF(A594="","",IFERROR(INDEX('Famílias'!$E:$E,MATCH(A594,'Famílias'!$A:$A,0)),"família não cadastrada"))</f>
        <v/>
      </c>
      <c r="R594" s="50" t="n"/>
      <c r="S594" s="50" t="n"/>
      <c r="T594" s="50" t="n"/>
      <c r="U594" s="50" t="n"/>
    </row>
    <row r="595">
      <c r="B595" s="45" t="n"/>
      <c r="C595" s="46" t="n"/>
      <c r="E595" s="47" t="n"/>
      <c r="F595" s="47" t="n"/>
      <c r="G595" s="47" t="n"/>
      <c r="J595" s="48" t="n"/>
      <c r="K595" s="48" t="n"/>
      <c r="N595" s="47" t="n"/>
      <c r="O595" s="47" t="n"/>
      <c r="Q595" s="49">
        <f>IF(A595="","",IFERROR(INDEX('Famílias'!$E:$E,MATCH(A595,'Famílias'!$A:$A,0)),"família não cadastrada"))</f>
        <v/>
      </c>
      <c r="R595" s="50" t="n"/>
      <c r="S595" s="50" t="n"/>
      <c r="T595" s="50" t="n"/>
      <c r="U595" s="50" t="n"/>
    </row>
    <row r="596">
      <c r="B596" s="45" t="n"/>
      <c r="C596" s="46" t="n"/>
      <c r="E596" s="47" t="n"/>
      <c r="F596" s="47" t="n"/>
      <c r="G596" s="47" t="n"/>
      <c r="J596" s="48" t="n"/>
      <c r="K596" s="48" t="n"/>
      <c r="N596" s="47" t="n"/>
      <c r="O596" s="47" t="n"/>
      <c r="Q596" s="49">
        <f>IF(A596="","",IFERROR(INDEX('Famílias'!$E:$E,MATCH(A596,'Famílias'!$A:$A,0)),"família não cadastrada"))</f>
        <v/>
      </c>
      <c r="R596" s="50" t="n"/>
      <c r="S596" s="50" t="n"/>
      <c r="T596" s="50" t="n"/>
      <c r="U596" s="50" t="n"/>
    </row>
    <row r="597">
      <c r="B597" s="45" t="n"/>
      <c r="C597" s="46" t="n"/>
      <c r="E597" s="47" t="n"/>
      <c r="F597" s="47" t="n"/>
      <c r="G597" s="47" t="n"/>
      <c r="J597" s="48" t="n"/>
      <c r="K597" s="48" t="n"/>
      <c r="N597" s="47" t="n"/>
      <c r="O597" s="47" t="n"/>
      <c r="Q597" s="49">
        <f>IF(A597="","",IFERROR(INDEX('Famílias'!$E:$E,MATCH(A597,'Famílias'!$A:$A,0)),"família não cadastrada"))</f>
        <v/>
      </c>
      <c r="R597" s="50" t="n"/>
      <c r="S597" s="50" t="n"/>
      <c r="T597" s="50" t="n"/>
      <c r="U597" s="50" t="n"/>
    </row>
    <row r="598">
      <c r="B598" s="45" t="n"/>
      <c r="C598" s="46" t="n"/>
      <c r="E598" s="47" t="n"/>
      <c r="F598" s="47" t="n"/>
      <c r="G598" s="47" t="n"/>
      <c r="J598" s="48" t="n"/>
      <c r="K598" s="48" t="n"/>
      <c r="N598" s="47" t="n"/>
      <c r="O598" s="47" t="n"/>
      <c r="Q598" s="49">
        <f>IF(A598="","",IFERROR(INDEX('Famílias'!$E:$E,MATCH(A598,'Famílias'!$A:$A,0)),"família não cadastrada"))</f>
        <v/>
      </c>
      <c r="R598" s="50" t="n"/>
      <c r="S598" s="50" t="n"/>
      <c r="T598" s="50" t="n"/>
      <c r="U598" s="50" t="n"/>
    </row>
    <row r="599">
      <c r="B599" s="45" t="n"/>
      <c r="C599" s="46" t="n"/>
      <c r="E599" s="47" t="n"/>
      <c r="F599" s="47" t="n"/>
      <c r="G599" s="47" t="n"/>
      <c r="J599" s="48" t="n"/>
      <c r="K599" s="48" t="n"/>
      <c r="N599" s="47" t="n"/>
      <c r="O599" s="47" t="n"/>
      <c r="Q599" s="49">
        <f>IF(A599="","",IFERROR(INDEX('Famílias'!$E:$E,MATCH(A599,'Famílias'!$A:$A,0)),"família não cadastrada"))</f>
        <v/>
      </c>
      <c r="R599" s="50" t="n"/>
      <c r="S599" s="50" t="n"/>
      <c r="T599" s="50" t="n"/>
      <c r="U599" s="50" t="n"/>
    </row>
    <row r="600">
      <c r="B600" s="45" t="n"/>
      <c r="C600" s="46" t="n"/>
      <c r="E600" s="47" t="n"/>
      <c r="F600" s="47" t="n"/>
      <c r="G600" s="47" t="n"/>
      <c r="J600" s="48" t="n"/>
      <c r="K600" s="48" t="n"/>
      <c r="N600" s="47" t="n"/>
      <c r="O600" s="47" t="n"/>
      <c r="Q600" s="49">
        <f>IF(A600="","",IFERROR(INDEX('Famílias'!$E:$E,MATCH(A600,'Famílias'!$A:$A,0)),"família não cadastrada"))</f>
        <v/>
      </c>
      <c r="R600" s="50" t="n"/>
      <c r="S600" s="50" t="n"/>
      <c r="T600" s="50" t="n"/>
      <c r="U600" s="50" t="n"/>
    </row>
  </sheetData>
  <autoFilter ref="A2:W137"/>
  <mergeCells count="4">
    <mergeCell ref="E1:I1"/>
    <mergeCell ref="A1:D1"/>
    <mergeCell ref="J1:P1"/>
    <mergeCell ref="Q1:V1"/>
  </mergeCells>
  <dataValidations count="5">
    <dataValidation sqref="A3:A600" showDropDown="0" showInputMessage="0" showErrorMessage="1" allowBlank="1" errorTitle="Família não cadastrada" error="Escolha uma família da lista. Família nova: cadastre antes na aba Famílias." type="list">
      <formula1>'Famílias'!$A$3:$A$80</formula1>
    </dataValidation>
    <dataValidation sqref="C3:C600" showDropDown="0" showInputMessage="0" showErrorMessage="1" allowBlank="1" errorTitle="Índice" error="Escolha um índice da lista." type="list">
      <formula1>"1.49,1.50,1.53,1.56,1.59,1.60,1.67,1.74"</formula1>
    </dataValidation>
    <dataValidation sqref="E3:E600" showDropDown="0" showInputMessage="0" showErrorMessage="1" allowBlank="1" errorTitle="Use S ou N" error="Escolha S (sim) ou N (não)." type="list">
      <formula1>"S,N"</formula1>
    </dataValidation>
    <dataValidation sqref="F3:F600" showDropDown="0" showInputMessage="0" showErrorMessage="1" allowBlank="1" errorTitle="Ponto" error="Escolha verde, azul ou roxo." type="list">
      <formula1>"verde,azul,roxo"</formula1>
    </dataValidation>
    <dataValidation sqref="G3:G600" showDropDown="0" showInputMessage="0" showErrorMessage="1" allowBlank="1" errorTitle="Destaque" error="Escolha FOTO ou RX." type="list">
      <formula1>"FOTO,RX"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D1D1F"/>
    <outlinePr summaryBelow="1" summaryRight="1"/>
    <pageSetUpPr/>
  </sheetPr>
  <dimension ref="A1:C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0" customWidth="1" min="3" max="3"/>
  </cols>
  <sheetData>
    <row r="1" ht="20" customHeight="1">
      <c r="A1" s="16" t="inlineStr">
        <is>
          <t>ORDEM DAS PÁGINAS</t>
        </is>
      </c>
      <c r="C1" s="16" t="inlineStr">
        <is>
          <t>CONFERÊNCIA</t>
        </is>
      </c>
    </row>
    <row r="2" ht="44" customHeight="1">
      <c r="A2" s="9" t="inlineStr">
        <is>
          <t>Página</t>
        </is>
      </c>
      <c r="B2" s="9" t="inlineStr">
        <is>
          <t>Bloco</t>
        </is>
      </c>
      <c r="C2" s="10" t="inlineStr">
        <is>
          <t>O que entra</t>
        </is>
      </c>
    </row>
    <row r="3">
      <c r="A3" s="34" t="n">
        <v>1</v>
      </c>
      <c r="B3" s="31" t="inlineStr">
        <is>
          <t>CAPA</t>
        </is>
      </c>
      <c r="C3" s="51">
        <f>IF(B3="","",IF(B3="CAPA","Cabeçalho da capa",IF(B3="FAIXA_50","Faixa Reflecta 50%",IF(B3="FAIXA_MONTAGEM","Faixa de montagem",IF(B3="VIXCLUB","Painel VixClub (ocupa o que sobrar)",COUNTIF(Produtos!$A:$A,B3)&amp;" produtos")))))</f>
        <v/>
      </c>
    </row>
    <row r="4">
      <c r="A4" s="34" t="n">
        <v>1</v>
      </c>
      <c r="B4" s="31" t="inlineStr">
        <is>
          <t>OPTFÁCIL GO</t>
        </is>
      </c>
      <c r="C4" s="51">
        <f>IF(B4="","",IF(B4="CAPA","Cabeçalho da capa",IF(B4="FAIXA_50","Faixa Reflecta 50%",IF(B4="FAIXA_MONTAGEM","Faixa de montagem",IF(B4="VIXCLUB","Painel VixClub (ocupa o que sobrar)",COUNTIF(Produtos!$A:$A,B4)&amp;" produtos")))))</f>
        <v/>
      </c>
    </row>
    <row r="5">
      <c r="A5" s="34" t="n">
        <v>1</v>
      </c>
      <c r="B5" s="31" t="inlineStr">
        <is>
          <t>VIX TOTAL</t>
        </is>
      </c>
      <c r="C5" s="51">
        <f>IF(B5="","",IF(B5="CAPA","Cabeçalho da capa",IF(B5="FAIXA_50","Faixa Reflecta 50%",IF(B5="FAIXA_MONTAGEM","Faixa de montagem",IF(B5="VIXCLUB","Painel VixClub (ocupa o que sobrar)",COUNTIF(Produtos!$A:$A,B5)&amp;" produtos")))))</f>
        <v/>
      </c>
    </row>
    <row r="6">
      <c r="A6" s="41" t="n">
        <v>2</v>
      </c>
      <c r="B6" s="38" t="inlineStr">
        <is>
          <t>FREEVIX VISÃO SIMPLES</t>
        </is>
      </c>
      <c r="C6" s="52">
        <f>IF(B6="","",IF(B6="CAPA","Cabeçalho da capa",IF(B6="FAIXA_50","Faixa Reflecta 50%",IF(B6="FAIXA_MONTAGEM","Faixa de montagem",IF(B6="VIXCLUB","Painel VixClub (ocupa o que sobrar)",COUNTIF(Produtos!$A:$A,B6)&amp;" produtos")))))</f>
        <v/>
      </c>
    </row>
    <row r="7">
      <c r="A7" s="34" t="n">
        <v>2</v>
      </c>
      <c r="B7" s="31" t="inlineStr">
        <is>
          <t>VIXCLUB</t>
        </is>
      </c>
      <c r="C7" s="51">
        <f>IF(B7="","",IF(B7="CAPA","Cabeçalho da capa",IF(B7="FAIXA_50","Faixa Reflecta 50%",IF(B7="FAIXA_MONTAGEM","Faixa de montagem",IF(B7="VIXCLUB","Painel VixClub (ocupa o que sobrar)",COUNTIF(Produtos!$A:$A,B7)&amp;" produtos")))))</f>
        <v/>
      </c>
    </row>
    <row r="8">
      <c r="A8" s="41" t="n">
        <v>3</v>
      </c>
      <c r="B8" s="38" t="inlineStr">
        <is>
          <t>FAIXA_50</t>
        </is>
      </c>
      <c r="C8" s="52">
        <f>IF(B8="","",IF(B8="CAPA","Cabeçalho da capa",IF(B8="FAIXA_50","Faixa Reflecta 50%",IF(B8="FAIXA_MONTAGEM","Faixa de montagem",IF(B8="VIXCLUB","Painel VixClub (ocupa o que sobrar)",COUNTIF(Produtos!$A:$A,B8)&amp;" produtos")))))</f>
        <v/>
      </c>
    </row>
    <row r="9">
      <c r="A9" s="34" t="n">
        <v>3</v>
      </c>
      <c r="B9" s="31" t="inlineStr">
        <is>
          <t>ESPACE PLUS DIGITAL</t>
        </is>
      </c>
      <c r="C9" s="51">
        <f>IF(B9="","",IF(B9="CAPA","Cabeçalho da capa",IF(B9="FAIXA_50","Faixa Reflecta 50%",IF(B9="FAIXA_MONTAGEM","Faixa de montagem",IF(B9="VIXCLUB","Painel VixClub (ocupa o que sobrar)",COUNTIF(Produtos!$A:$A,B9)&amp;" produtos")))))</f>
        <v/>
      </c>
    </row>
    <row r="10">
      <c r="A10" s="34" t="n">
        <v>3</v>
      </c>
      <c r="B10" s="31" t="inlineStr">
        <is>
          <t>KODAK PRECISE NEXT</t>
        </is>
      </c>
      <c r="C10" s="51">
        <f>IF(B10="","",IF(B10="CAPA","Cabeçalho da capa",IF(B10="FAIXA_50","Faixa Reflecta 50%",IF(B10="FAIXA_MONTAGEM","Faixa de montagem",IF(B10="VIXCLUB","Painel VixClub (ocupa o que sobrar)",COUNTIF(Produtos!$A:$A,B10)&amp;" produtos")))))</f>
        <v/>
      </c>
    </row>
    <row r="11">
      <c r="A11" s="41" t="n">
        <v>4</v>
      </c>
      <c r="B11" s="38" t="inlineStr">
        <is>
          <t>FAIXA_50</t>
        </is>
      </c>
      <c r="C11" s="52">
        <f>IF(B11="","",IF(B11="CAPA","Cabeçalho da capa",IF(B11="FAIXA_50","Faixa Reflecta 50%",IF(B11="FAIXA_MONTAGEM","Faixa de montagem",IF(B11="VIXCLUB","Painel VixClub (ocupa o que sobrar)",COUNTIF(Produtos!$A:$A,B11)&amp;" produtos")))))</f>
        <v/>
      </c>
    </row>
    <row r="12">
      <c r="A12" s="34" t="n">
        <v>4</v>
      </c>
      <c r="B12" s="31" t="inlineStr">
        <is>
          <t>KODAK NETWORK UHD</t>
        </is>
      </c>
      <c r="C12" s="51">
        <f>IF(B12="","",IF(B12="CAPA","Cabeçalho da capa",IF(B12="FAIXA_50","Faixa Reflecta 50%",IF(B12="FAIXA_MONTAGEM","Faixa de montagem",IF(B12="VIXCLUB","Painel VixClub (ocupa o que sobrar)",COUNTIF(Produtos!$A:$A,B12)&amp;" produtos")))))</f>
        <v/>
      </c>
    </row>
    <row r="13">
      <c r="A13" s="34" t="n">
        <v>4</v>
      </c>
      <c r="B13" s="31" t="inlineStr">
        <is>
          <t>KODAK SOFTWEAR</t>
        </is>
      </c>
      <c r="C13" s="51">
        <f>IF(B13="","",IF(B13="CAPA","Cabeçalho da capa",IF(B13="FAIXA_50","Faixa Reflecta 50%",IF(B13="FAIXA_MONTAGEM","Faixa de montagem",IF(B13="VIXCLUB","Painel VixClub (ocupa o que sobrar)",COUNTIF(Produtos!$A:$A,B13)&amp;" produtos")))))</f>
        <v/>
      </c>
    </row>
    <row r="14">
      <c r="A14" s="41" t="n">
        <v>5</v>
      </c>
      <c r="B14" s="38" t="inlineStr">
        <is>
          <t>KODAK UNIQUE UHD</t>
        </is>
      </c>
      <c r="C14" s="52">
        <f>IF(B14="","",IF(B14="CAPA","Cabeçalho da capa",IF(B14="FAIXA_50","Faixa Reflecta 50%",IF(B14="FAIXA_MONTAGEM","Faixa de montagem",IF(B14="VIXCLUB","Painel VixClub (ocupa o que sobrar)",COUNTIF(Produtos!$A:$A,B14)&amp;" produtos")))))</f>
        <v/>
      </c>
    </row>
    <row r="15">
      <c r="A15" s="34" t="n">
        <v>5</v>
      </c>
      <c r="B15" s="31" t="inlineStr">
        <is>
          <t>KODAK UNIQUE INFINITE</t>
        </is>
      </c>
      <c r="C15" s="51">
        <f>IF(B15="","",IF(B15="CAPA","Cabeçalho da capa",IF(B15="FAIXA_50","Faixa Reflecta 50%",IF(B15="FAIXA_MONTAGEM","Faixa de montagem",IF(B15="VIXCLUB","Painel VixClub (ocupa o que sobrar)",COUNTIF(Produtos!$A:$A,B15)&amp;" produtos")))))</f>
        <v/>
      </c>
    </row>
    <row r="16">
      <c r="A16" s="41" t="n">
        <v>6</v>
      </c>
      <c r="B16" s="38" t="inlineStr">
        <is>
          <t>KODAK SINGLE</t>
        </is>
      </c>
      <c r="C16" s="52">
        <f>IF(B16="","",IF(B16="CAPA","Cabeçalho da capa",IF(B16="FAIXA_50","Faixa Reflecta 50%",IF(B16="FAIXA_MONTAGEM","Faixa de montagem",IF(B16="VIXCLUB","Painel VixClub (ocupa o que sobrar)",COUNTIF(Produtos!$A:$A,B16)&amp;" produtos")))))</f>
        <v/>
      </c>
    </row>
    <row r="17">
      <c r="A17" s="34" t="n">
        <v>6</v>
      </c>
      <c r="B17" s="31" t="inlineStr">
        <is>
          <t>ESSILOR SURFAÇADAS</t>
        </is>
      </c>
      <c r="C17" s="51">
        <f>IF(B17="","",IF(B17="CAPA","Cabeçalho da capa",IF(B17="FAIXA_50","Faixa Reflecta 50%",IF(B17="FAIXA_MONTAGEM","Faixa de montagem",IF(B17="VIXCLUB","Painel VixClub (ocupa o que sobrar)",COUNTIF(Produtos!$A:$A,B17)&amp;" produtos")))))</f>
        <v/>
      </c>
    </row>
    <row r="18">
      <c r="A18" s="41" t="n">
        <v>7</v>
      </c>
      <c r="B18" s="38" t="inlineStr">
        <is>
          <t>OPTVIEW</t>
        </is>
      </c>
      <c r="C18" s="52">
        <f>IF(B18="","",IF(B18="CAPA","Cabeçalho da capa",IF(B18="FAIXA_50","Faixa Reflecta 50%",IF(B18="FAIXA_MONTAGEM","Faixa de montagem",IF(B18="VIXCLUB","Painel VixClub (ocupa o que sobrar)",COUNTIF(Produtos!$A:$A,B18)&amp;" produtos")))))</f>
        <v/>
      </c>
    </row>
    <row r="19">
      <c r="A19" s="34" t="n">
        <v>7</v>
      </c>
      <c r="B19" s="31" t="inlineStr">
        <is>
          <t>MULTIFOCAL ACABADA</t>
        </is>
      </c>
      <c r="C19" s="51">
        <f>IF(B19="","",IF(B19="CAPA","Cabeçalho da capa",IF(B19="FAIXA_50","Faixa Reflecta 50%",IF(B19="FAIXA_MONTAGEM","Faixa de montagem",IF(B19="VIXCLUB","Painel VixClub (ocupa o que sobrar)",COUNTIF(Produtos!$A:$A,B19)&amp;" produtos")))))</f>
        <v/>
      </c>
    </row>
    <row r="20">
      <c r="A20" s="41" t="n">
        <v>8</v>
      </c>
      <c r="B20" s="38" t="inlineStr">
        <is>
          <t>LENTE PRONTA KODAK</t>
        </is>
      </c>
      <c r="C20" s="52">
        <f>IF(B20="","",IF(B20="CAPA","Cabeçalho da capa",IF(B20="FAIXA_50","Faixa Reflecta 50%",IF(B20="FAIXA_MONTAGEM","Faixa de montagem",IF(B20="VIXCLUB","Painel VixClub (ocupa o que sobrar)",COUNTIF(Produtos!$A:$A,B20)&amp;" produtos")))))</f>
        <v/>
      </c>
    </row>
    <row r="21">
      <c r="A21" s="34" t="n">
        <v>8</v>
      </c>
      <c r="B21" s="31" t="inlineStr">
        <is>
          <t>LENTE PRONTA ESSILOR</t>
        </is>
      </c>
      <c r="C21" s="51">
        <f>IF(B21="","",IF(B21="CAPA","Cabeçalho da capa",IF(B21="FAIXA_50","Faixa Reflecta 50%",IF(B21="FAIXA_MONTAGEM","Faixa de montagem",IF(B21="VIXCLUB","Painel VixClub (ocupa o que sobrar)",COUNTIF(Produtos!$A:$A,B21)&amp;" produtos")))))</f>
        <v/>
      </c>
    </row>
    <row r="22">
      <c r="A22" s="34" t="n">
        <v>8</v>
      </c>
      <c r="B22" s="31" t="inlineStr">
        <is>
          <t>SOLAR ACABADA</t>
        </is>
      </c>
      <c r="C22" s="51">
        <f>IF(B22="","",IF(B22="CAPA","Cabeçalho da capa",IF(B22="FAIXA_50","Faixa Reflecta 50%",IF(B22="FAIXA_MONTAGEM","Faixa de montagem",IF(B22="VIXCLUB","Painel VixClub (ocupa o que sobrar)",COUNTIF(Produtos!$A:$A,B22)&amp;" produtos")))))</f>
        <v/>
      </c>
    </row>
    <row r="23">
      <c r="A23" s="34" t="n"/>
      <c r="B23" s="31" t="n"/>
      <c r="C23" s="51">
        <f>IF(B23="","",IF(B23="CAPA","Cabeçalho da capa",IF(B23="FAIXA_50","Faixa Reflecta 50%",IF(B23="FAIXA_MONTAGEM","Faixa de montagem",IF(B23="VIXCLUB","Painel VixClub (ocupa o que sobrar)",COUNTIF(Produtos!$A:$A,B23)&amp;" produtos")))))</f>
        <v/>
      </c>
    </row>
    <row r="24">
      <c r="A24" s="34" t="n"/>
      <c r="B24" s="31" t="n"/>
      <c r="C24" s="51">
        <f>IF(B24="","",IF(B24="CAPA","Cabeçalho da capa",IF(B24="FAIXA_50","Faixa Reflecta 50%",IF(B24="FAIXA_MONTAGEM","Faixa de montagem",IF(B24="VIXCLUB","Painel VixClub (ocupa o que sobrar)",COUNTIF(Produtos!$A:$A,B24)&amp;" produtos")))))</f>
        <v/>
      </c>
    </row>
    <row r="25">
      <c r="A25" s="34" t="n"/>
      <c r="B25" s="31" t="n"/>
      <c r="C25" s="51">
        <f>IF(B25="","",IF(B25="CAPA","Cabeçalho da capa",IF(B25="FAIXA_50","Faixa Reflecta 50%",IF(B25="FAIXA_MONTAGEM","Faixa de montagem",IF(B25="VIXCLUB","Painel VixClub (ocupa o que sobrar)",COUNTIF(Produtos!$A:$A,B25)&amp;" produtos")))))</f>
        <v/>
      </c>
    </row>
    <row r="26">
      <c r="A26" s="34" t="n"/>
      <c r="B26" s="31" t="n"/>
      <c r="C26" s="51">
        <f>IF(B26="","",IF(B26="CAPA","Cabeçalho da capa",IF(B26="FAIXA_50","Faixa Reflecta 50%",IF(B26="FAIXA_MONTAGEM","Faixa de montagem",IF(B26="VIXCLUB","Painel VixClub (ocupa o que sobrar)",COUNTIF(Produtos!$A:$A,B26)&amp;" produtos")))))</f>
        <v/>
      </c>
    </row>
    <row r="27">
      <c r="A27" s="34" t="n"/>
      <c r="B27" s="31" t="n"/>
      <c r="C27" s="51">
        <f>IF(B27="","",IF(B27="CAPA","Cabeçalho da capa",IF(B27="FAIXA_50","Faixa Reflecta 50%",IF(B27="FAIXA_MONTAGEM","Faixa de montagem",IF(B27="VIXCLUB","Painel VixClub (ocupa o que sobrar)",COUNTIF(Produtos!$A:$A,B27)&amp;" produtos")))))</f>
        <v/>
      </c>
    </row>
    <row r="28">
      <c r="A28" s="34" t="n"/>
      <c r="B28" s="31" t="n"/>
      <c r="C28" s="51">
        <f>IF(B28="","",IF(B28="CAPA","Cabeçalho da capa",IF(B28="FAIXA_50","Faixa Reflecta 50%",IF(B28="FAIXA_MONTAGEM","Faixa de montagem",IF(B28="VIXCLUB","Painel VixClub (ocupa o que sobrar)",COUNTIF(Produtos!$A:$A,B28)&amp;" produtos")))))</f>
        <v/>
      </c>
    </row>
    <row r="29">
      <c r="A29" s="34" t="n"/>
      <c r="B29" s="31" t="n"/>
      <c r="C29" s="51">
        <f>IF(B29="","",IF(B29="CAPA","Cabeçalho da capa",IF(B29="FAIXA_50","Faixa Reflecta 50%",IF(B29="FAIXA_MONTAGEM","Faixa de montagem",IF(B29="VIXCLUB","Painel VixClub (ocupa o que sobrar)",COUNTIF(Produtos!$A:$A,B29)&amp;" produtos")))))</f>
        <v/>
      </c>
    </row>
    <row r="30">
      <c r="A30" s="34" t="n"/>
      <c r="B30" s="31" t="n"/>
      <c r="C30" s="51">
        <f>IF(B30="","",IF(B30="CAPA","Cabeçalho da capa",IF(B30="FAIXA_50","Faixa Reflecta 50%",IF(B30="FAIXA_MONTAGEM","Faixa de montagem",IF(B30="VIXCLUB","Painel VixClub (ocupa o que sobrar)",COUNTIF(Produtos!$A:$A,B30)&amp;" produtos")))))</f>
        <v/>
      </c>
    </row>
    <row r="31">
      <c r="A31" s="34" t="n"/>
      <c r="B31" s="31" t="n"/>
      <c r="C31" s="51">
        <f>IF(B31="","",IF(B31="CAPA","Cabeçalho da capa",IF(B31="FAIXA_50","Faixa Reflecta 50%",IF(B31="FAIXA_MONTAGEM","Faixa de montagem",IF(B31="VIXCLUB","Painel VixClub (ocupa o que sobrar)",COUNTIF(Produtos!$A:$A,B31)&amp;" produtos")))))</f>
        <v/>
      </c>
    </row>
    <row r="32">
      <c r="A32" s="34" t="n"/>
      <c r="B32" s="31" t="n"/>
      <c r="C32" s="51">
        <f>IF(B32="","",IF(B32="CAPA","Cabeçalho da capa",IF(B32="FAIXA_50","Faixa Reflecta 50%",IF(B32="FAIXA_MONTAGEM","Faixa de montagem",IF(B32="VIXCLUB","Painel VixClub (ocupa o que sobrar)",COUNTIF(Produtos!$A:$A,B32)&amp;" produtos")))))</f>
        <v/>
      </c>
    </row>
    <row r="33">
      <c r="A33" s="34" t="n"/>
      <c r="B33" s="31" t="n"/>
      <c r="C33" s="51">
        <f>IF(B33="","",IF(B33="CAPA","Cabeçalho da capa",IF(B33="FAIXA_50","Faixa Reflecta 50%",IF(B33="FAIXA_MONTAGEM","Faixa de montagem",IF(B33="VIXCLUB","Painel VixClub (ocupa o que sobrar)",COUNTIF(Produtos!$A:$A,B33)&amp;" produtos")))))</f>
        <v/>
      </c>
    </row>
    <row r="34">
      <c r="A34" s="34" t="n"/>
      <c r="B34" s="31" t="n"/>
      <c r="C34" s="51">
        <f>IF(B34="","",IF(B34="CAPA","Cabeçalho da capa",IF(B34="FAIXA_50","Faixa Reflecta 50%",IF(B34="FAIXA_MONTAGEM","Faixa de montagem",IF(B34="VIXCLUB","Painel VixClub (ocupa o que sobrar)",COUNTIF(Produtos!$A:$A,B34)&amp;" produtos")))))</f>
        <v/>
      </c>
    </row>
    <row r="35">
      <c r="A35" s="34" t="n"/>
      <c r="B35" s="31" t="n"/>
      <c r="C35" s="51">
        <f>IF(B35="","",IF(B35="CAPA","Cabeçalho da capa",IF(B35="FAIXA_50","Faixa Reflecta 50%",IF(B35="FAIXA_MONTAGEM","Faixa de montagem",IF(B35="VIXCLUB","Painel VixClub (ocupa o que sobrar)",COUNTIF(Produtos!$A:$A,B35)&amp;" produtos")))))</f>
        <v/>
      </c>
    </row>
    <row r="36">
      <c r="A36" s="34" t="n"/>
      <c r="B36" s="31" t="n"/>
      <c r="C36" s="51">
        <f>IF(B36="","",IF(B36="CAPA","Cabeçalho da capa",IF(B36="FAIXA_50","Faixa Reflecta 50%",IF(B36="FAIXA_MONTAGEM","Faixa de montagem",IF(B36="VIXCLUB","Painel VixClub (ocupa o que sobrar)",COUNTIF(Produtos!$A:$A,B36)&amp;" produtos")))))</f>
        <v/>
      </c>
    </row>
    <row r="37">
      <c r="A37" s="34" t="n"/>
      <c r="B37" s="31" t="n"/>
      <c r="C37" s="51">
        <f>IF(B37="","",IF(B37="CAPA","Cabeçalho da capa",IF(B37="FAIXA_50","Faixa Reflecta 50%",IF(B37="FAIXA_MONTAGEM","Faixa de montagem",IF(B37="VIXCLUB","Painel VixClub (ocupa o que sobrar)",COUNTIF(Produtos!$A:$A,B37)&amp;" produtos")))))</f>
        <v/>
      </c>
    </row>
    <row r="38">
      <c r="A38" s="34" t="n"/>
      <c r="B38" s="31" t="n"/>
      <c r="C38" s="51">
        <f>IF(B38="","",IF(B38="CAPA","Cabeçalho da capa",IF(B38="FAIXA_50","Faixa Reflecta 50%",IF(B38="FAIXA_MONTAGEM","Faixa de montagem",IF(B38="VIXCLUB","Painel VixClub (ocupa o que sobrar)",COUNTIF(Produtos!$A:$A,B38)&amp;" produtos")))))</f>
        <v/>
      </c>
    </row>
    <row r="39">
      <c r="A39" s="34" t="n"/>
      <c r="B39" s="31" t="n"/>
      <c r="C39" s="51">
        <f>IF(B39="","",IF(B39="CAPA","Cabeçalho da capa",IF(B39="FAIXA_50","Faixa Reflecta 50%",IF(B39="FAIXA_MONTAGEM","Faixa de montagem",IF(B39="VIXCLUB","Painel VixClub (ocupa o que sobrar)",COUNTIF(Produtos!$A:$A,B39)&amp;" produtos")))))</f>
        <v/>
      </c>
    </row>
    <row r="40">
      <c r="A40" s="34" t="n"/>
      <c r="B40" s="31" t="n"/>
      <c r="C40" s="51">
        <f>IF(B40="","",IF(B40="CAPA","Cabeçalho da capa",IF(B40="FAIXA_50","Faixa Reflecta 50%",IF(B40="FAIXA_MONTAGEM","Faixa de montagem",IF(B40="VIXCLUB","Painel VixClub (ocupa o que sobrar)",COUNTIF(Produtos!$A:$A,B40)&amp;" produtos")))))</f>
        <v/>
      </c>
    </row>
    <row r="41">
      <c r="A41" s="34" t="n"/>
      <c r="B41" s="31" t="n"/>
      <c r="C41" s="51">
        <f>IF(B41="","",IF(B41="CAPA","Cabeçalho da capa",IF(B41="FAIXA_50","Faixa Reflecta 50%",IF(B41="FAIXA_MONTAGEM","Faixa de montagem",IF(B41="VIXCLUB","Painel VixClub (ocupa o que sobrar)",COUNTIF(Produtos!$A:$A,B41)&amp;" produtos")))))</f>
        <v/>
      </c>
    </row>
    <row r="42">
      <c r="A42" s="34" t="n"/>
      <c r="B42" s="31" t="n"/>
      <c r="C42" s="51">
        <f>IF(B42="","",IF(B42="CAPA","Cabeçalho da capa",IF(B42="FAIXA_50","Faixa Reflecta 50%",IF(B42="FAIXA_MONTAGEM","Faixa de montagem",IF(B42="VIXCLUB","Painel VixClub (ocupa o que sobrar)",COUNTIF(Produtos!$A:$A,B42)&amp;" produtos")))))</f>
        <v/>
      </c>
    </row>
    <row r="43">
      <c r="A43" s="34" t="n"/>
      <c r="B43" s="31" t="n"/>
      <c r="C43" s="51">
        <f>IF(B43="","",IF(B43="CAPA","Cabeçalho da capa",IF(B43="FAIXA_50","Faixa Reflecta 50%",IF(B43="FAIXA_MONTAGEM","Faixa de montagem",IF(B43="VIXCLUB","Painel VixClub (ocupa o que sobrar)",COUNTIF(Produtos!$A:$A,B43)&amp;" produtos")))))</f>
        <v/>
      </c>
    </row>
    <row r="44">
      <c r="A44" s="34" t="n"/>
      <c r="B44" s="31" t="n"/>
      <c r="C44" s="51">
        <f>IF(B44="","",IF(B44="CAPA","Cabeçalho da capa",IF(B44="FAIXA_50","Faixa Reflecta 50%",IF(B44="FAIXA_MONTAGEM","Faixa de montagem",IF(B44="VIXCLUB","Painel VixClub (ocupa o que sobrar)",COUNTIF(Produtos!$A:$A,B44)&amp;" produtos")))))</f>
        <v/>
      </c>
    </row>
    <row r="45">
      <c r="A45" s="34" t="n"/>
      <c r="B45" s="31" t="n"/>
      <c r="C45" s="51">
        <f>IF(B45="","",IF(B45="CAPA","Cabeçalho da capa",IF(B45="FAIXA_50","Faixa Reflecta 50%",IF(B45="FAIXA_MONTAGEM","Faixa de montagem",IF(B45="VIXCLUB","Painel VixClub (ocupa o que sobrar)",COUNTIF(Produtos!$A:$A,B45)&amp;" produtos")))))</f>
        <v/>
      </c>
    </row>
    <row r="46">
      <c r="A46" s="34" t="n"/>
      <c r="B46" s="31" t="n"/>
      <c r="C46" s="51">
        <f>IF(B46="","",IF(B46="CAPA","Cabeçalho da capa",IF(B46="FAIXA_50","Faixa Reflecta 50%",IF(B46="FAIXA_MONTAGEM","Faixa de montagem",IF(B46="VIXCLUB","Painel VixClub (ocupa o que sobrar)",COUNTIF(Produtos!$A:$A,B46)&amp;" produtos")))))</f>
        <v/>
      </c>
    </row>
    <row r="47">
      <c r="A47" s="34" t="n"/>
      <c r="B47" s="31" t="n"/>
      <c r="C47" s="51">
        <f>IF(B47="","",IF(B47="CAPA","Cabeçalho da capa",IF(B47="FAIXA_50","Faixa Reflecta 50%",IF(B47="FAIXA_MONTAGEM","Faixa de montagem",IF(B47="VIXCLUB","Painel VixClub (ocupa o que sobrar)",COUNTIF(Produtos!$A:$A,B47)&amp;" produtos")))))</f>
        <v/>
      </c>
    </row>
    <row r="48">
      <c r="A48" s="34" t="n"/>
      <c r="B48" s="31" t="n"/>
      <c r="C48" s="51">
        <f>IF(B48="","",IF(B48="CAPA","Cabeçalho da capa",IF(B48="FAIXA_50","Faixa Reflecta 50%",IF(B48="FAIXA_MONTAGEM","Faixa de montagem",IF(B48="VIXCLUB","Painel VixClub (ocupa o que sobrar)",COUNTIF(Produtos!$A:$A,B48)&amp;" produtos")))))</f>
        <v/>
      </c>
    </row>
    <row r="49">
      <c r="A49" s="34" t="n"/>
      <c r="B49" s="31" t="n"/>
      <c r="C49" s="51">
        <f>IF(B49="","",IF(B49="CAPA","Cabeçalho da capa",IF(B49="FAIXA_50","Faixa Reflecta 50%",IF(B49="FAIXA_MONTAGEM","Faixa de montagem",IF(B49="VIXCLUB","Painel VixClub (ocupa o que sobrar)",COUNTIF(Produtos!$A:$A,B49)&amp;" produtos")))))</f>
        <v/>
      </c>
    </row>
    <row r="50">
      <c r="A50" s="34" t="n"/>
      <c r="B50" s="31" t="n"/>
      <c r="C50" s="51">
        <f>IF(B50="","",IF(B50="CAPA","Cabeçalho da capa",IF(B50="FAIXA_50","Faixa Reflecta 50%",IF(B50="FAIXA_MONTAGEM","Faixa de montagem",IF(B50="VIXCLUB","Painel VixClub (ocupa o que sobrar)",COUNTIF(Produtos!$A:$A,B50)&amp;" produtos")))))</f>
        <v/>
      </c>
    </row>
    <row r="51">
      <c r="A51" s="34" t="n"/>
      <c r="B51" s="31" t="n"/>
      <c r="C51" s="51">
        <f>IF(B51="","",IF(B51="CAPA","Cabeçalho da capa",IF(B51="FAIXA_50","Faixa Reflecta 50%",IF(B51="FAIXA_MONTAGEM","Faixa de montagem",IF(B51="VIXCLUB","Painel VixClub (ocupa o que sobrar)",COUNTIF(Produtos!$A:$A,B51)&amp;" produtos")))))</f>
        <v/>
      </c>
    </row>
    <row r="52">
      <c r="A52" s="34" t="n"/>
      <c r="B52" s="31" t="n"/>
      <c r="C52" s="51">
        <f>IF(B52="","",IF(B52="CAPA","Cabeçalho da capa",IF(B52="FAIXA_50","Faixa Reflecta 50%",IF(B52="FAIXA_MONTAGEM","Faixa de montagem",IF(B52="VIXCLUB","Painel VixClub (ocupa o que sobrar)",COUNTIF(Produtos!$A:$A,B52)&amp;" produtos")))))</f>
        <v/>
      </c>
    </row>
    <row r="53">
      <c r="A53" s="34" t="n"/>
      <c r="B53" s="31" t="n"/>
      <c r="C53" s="51">
        <f>IF(B53="","",IF(B53="CAPA","Cabeçalho da capa",IF(B53="FAIXA_50","Faixa Reflecta 50%",IF(B53="FAIXA_MONTAGEM","Faixa de montagem",IF(B53="VIXCLUB","Painel VixClub (ocupa o que sobrar)",COUNTIF(Produtos!$A:$A,B53)&amp;" produtos")))))</f>
        <v/>
      </c>
    </row>
    <row r="54">
      <c r="A54" s="34" t="n"/>
      <c r="B54" s="31" t="n"/>
      <c r="C54" s="51">
        <f>IF(B54="","",IF(B54="CAPA","Cabeçalho da capa",IF(B54="FAIXA_50","Faixa Reflecta 50%",IF(B54="FAIXA_MONTAGEM","Faixa de montagem",IF(B54="VIXCLUB","Painel VixClub (ocupa o que sobrar)",COUNTIF(Produtos!$A:$A,B54)&amp;" produtos")))))</f>
        <v/>
      </c>
    </row>
    <row r="55">
      <c r="A55" s="34" t="n"/>
      <c r="B55" s="31" t="n"/>
      <c r="C55" s="51">
        <f>IF(B55="","",IF(B55="CAPA","Cabeçalho da capa",IF(B55="FAIXA_50","Faixa Reflecta 50%",IF(B55="FAIXA_MONTAGEM","Faixa de montagem",IF(B55="VIXCLUB","Painel VixClub (ocupa o que sobrar)",COUNTIF(Produtos!$A:$A,B55)&amp;" produtos")))))</f>
        <v/>
      </c>
    </row>
    <row r="56">
      <c r="A56" s="34" t="n"/>
      <c r="B56" s="31" t="n"/>
      <c r="C56" s="51">
        <f>IF(B56="","",IF(B56="CAPA","Cabeçalho da capa",IF(B56="FAIXA_50","Faixa Reflecta 50%",IF(B56="FAIXA_MONTAGEM","Faixa de montagem",IF(B56="VIXCLUB","Painel VixClub (ocupa o que sobrar)",COUNTIF(Produtos!$A:$A,B56)&amp;" produtos")))))</f>
        <v/>
      </c>
    </row>
    <row r="57">
      <c r="A57" s="34" t="n"/>
      <c r="B57" s="31" t="n"/>
      <c r="C57" s="51">
        <f>IF(B57="","",IF(B57="CAPA","Cabeçalho da capa",IF(B57="FAIXA_50","Faixa Reflecta 50%",IF(B57="FAIXA_MONTAGEM","Faixa de montagem",IF(B57="VIXCLUB","Painel VixClub (ocupa o que sobrar)",COUNTIF(Produtos!$A:$A,B57)&amp;" produtos")))))</f>
        <v/>
      </c>
    </row>
    <row r="58">
      <c r="A58" s="34" t="n"/>
      <c r="B58" s="31" t="n"/>
      <c r="C58" s="51">
        <f>IF(B58="","",IF(B58="CAPA","Cabeçalho da capa",IF(B58="FAIXA_50","Faixa Reflecta 50%",IF(B58="FAIXA_MONTAGEM","Faixa de montagem",IF(B58="VIXCLUB","Painel VixClub (ocupa o que sobrar)",COUNTIF(Produtos!$A:$A,B58)&amp;" produtos")))))</f>
        <v/>
      </c>
    </row>
    <row r="59">
      <c r="A59" s="34" t="n"/>
      <c r="B59" s="31" t="n"/>
      <c r="C59" s="51">
        <f>IF(B59="","",IF(B59="CAPA","Cabeçalho da capa",IF(B59="FAIXA_50","Faixa Reflecta 50%",IF(B59="FAIXA_MONTAGEM","Faixa de montagem",IF(B59="VIXCLUB","Painel VixClub (ocupa o que sobrar)",COUNTIF(Produtos!$A:$A,B59)&amp;" produtos")))))</f>
        <v/>
      </c>
    </row>
    <row r="60">
      <c r="A60" s="34" t="n"/>
      <c r="B60" s="31" t="n"/>
      <c r="C60" s="51">
        <f>IF(B60="","",IF(B60="CAPA","Cabeçalho da capa",IF(B60="FAIXA_50","Faixa Reflecta 50%",IF(B60="FAIXA_MONTAGEM","Faixa de montagem",IF(B60="VIXCLUB","Painel VixClub (ocupa o que sobrar)",COUNTIF(Produtos!$A:$A,B60)&amp;" produtos")))))</f>
        <v/>
      </c>
    </row>
  </sheetData>
  <mergeCells count="1">
    <mergeCell ref="A1:B1"/>
  </mergeCells>
  <dataValidations count="1">
    <dataValidation sqref="B3:B60" showDropDown="0" showInputMessage="0" showErrorMessage="1" allowBlank="1" errorTitle="Bloco" error="Escolha uma família cadastrada ou um bloco especial." type="list">
      <formula1>Listas!$A$1:$A$84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606F7F"/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</row>
    <row r="2">
      <c r="A2" t="inlineStr">
        <is>
          <t>FAIXA_50</t>
        </is>
      </c>
    </row>
    <row r="3">
      <c r="A3" t="inlineStr">
        <is>
          <t>FAIXA_MONTAGEM</t>
        </is>
      </c>
    </row>
    <row r="4">
      <c r="A4" t="inlineStr">
        <is>
          <t>VIXCLUB</t>
        </is>
      </c>
    </row>
    <row r="5">
      <c r="A5">
        <f>IF('Famílias'!A3="","",'Famílias'!A3)</f>
        <v/>
      </c>
    </row>
    <row r="6">
      <c r="A6">
        <f>IF('Famílias'!A4="","",'Famílias'!A4)</f>
        <v/>
      </c>
    </row>
    <row r="7">
      <c r="A7">
        <f>IF('Famílias'!A5="","",'Famílias'!A5)</f>
        <v/>
      </c>
    </row>
    <row r="8">
      <c r="A8">
        <f>IF('Famílias'!A6="","",'Famílias'!A6)</f>
        <v/>
      </c>
    </row>
    <row r="9">
      <c r="A9">
        <f>IF('Famílias'!A7="","",'Famílias'!A7)</f>
        <v/>
      </c>
    </row>
    <row r="10">
      <c r="A10">
        <f>IF('Famílias'!A8="","",'Famílias'!A8)</f>
        <v/>
      </c>
    </row>
    <row r="11">
      <c r="A11">
        <f>IF('Famílias'!A9="","",'Famílias'!A9)</f>
        <v/>
      </c>
    </row>
    <row r="12">
      <c r="A12">
        <f>IF('Famílias'!A10="","",'Famílias'!A10)</f>
        <v/>
      </c>
    </row>
    <row r="13">
      <c r="A13">
        <f>IF('Famílias'!A11="","",'Famílias'!A11)</f>
        <v/>
      </c>
    </row>
    <row r="14">
      <c r="A14">
        <f>IF('Famílias'!A12="","",'Famílias'!A12)</f>
        <v/>
      </c>
    </row>
    <row r="15">
      <c r="A15">
        <f>IF('Famílias'!A13="","",'Famílias'!A13)</f>
        <v/>
      </c>
    </row>
    <row r="16">
      <c r="A16">
        <f>IF('Famílias'!A14="","",'Famílias'!A14)</f>
        <v/>
      </c>
    </row>
    <row r="17">
      <c r="A17">
        <f>IF('Famílias'!A15="","",'Famílias'!A15)</f>
        <v/>
      </c>
    </row>
    <row r="18">
      <c r="A18">
        <f>IF('Famílias'!A16="","",'Famílias'!A16)</f>
        <v/>
      </c>
    </row>
    <row r="19">
      <c r="A19">
        <f>IF('Famílias'!A17="","",'Famílias'!A17)</f>
        <v/>
      </c>
    </row>
    <row r="20">
      <c r="A20">
        <f>IF('Famílias'!A18="","",'Famílias'!A18)</f>
        <v/>
      </c>
    </row>
    <row r="21">
      <c r="A21">
        <f>IF('Famílias'!A19="","",'Famílias'!A19)</f>
        <v/>
      </c>
    </row>
    <row r="22">
      <c r="A22">
        <f>IF('Famílias'!A20="","",'Famílias'!A20)</f>
        <v/>
      </c>
    </row>
    <row r="23">
      <c r="A23">
        <f>IF('Famílias'!A21="","",'Famílias'!A21)</f>
        <v/>
      </c>
    </row>
    <row r="24">
      <c r="A24">
        <f>IF('Famílias'!A22="","",'Famílias'!A22)</f>
        <v/>
      </c>
    </row>
    <row r="25">
      <c r="A25">
        <f>IF('Famílias'!A23="","",'Famílias'!A23)</f>
        <v/>
      </c>
    </row>
    <row r="26">
      <c r="A26">
        <f>IF('Famílias'!A24="","",'Famílias'!A24)</f>
        <v/>
      </c>
    </row>
    <row r="27">
      <c r="A27">
        <f>IF('Famílias'!A25="","",'Famílias'!A25)</f>
        <v/>
      </c>
    </row>
    <row r="28">
      <c r="A28">
        <f>IF('Famílias'!A26="","",'Famílias'!A26)</f>
        <v/>
      </c>
    </row>
    <row r="29">
      <c r="A29">
        <f>IF('Famílias'!A27="","",'Famílias'!A27)</f>
        <v/>
      </c>
    </row>
    <row r="30">
      <c r="A30">
        <f>IF('Famílias'!A28="","",'Famílias'!A28)</f>
        <v/>
      </c>
    </row>
    <row r="31">
      <c r="A31">
        <f>IF('Famílias'!A29="","",'Famílias'!A29)</f>
        <v/>
      </c>
    </row>
    <row r="32">
      <c r="A32">
        <f>IF('Famílias'!A30="","",'Famílias'!A30)</f>
        <v/>
      </c>
    </row>
    <row r="33">
      <c r="A33">
        <f>IF('Famílias'!A31="","",'Famílias'!A31)</f>
        <v/>
      </c>
    </row>
    <row r="34">
      <c r="A34">
        <f>IF('Famílias'!A32="","",'Famílias'!A32)</f>
        <v/>
      </c>
    </row>
    <row r="35">
      <c r="A35">
        <f>IF('Famílias'!A33="","",'Famílias'!A33)</f>
        <v/>
      </c>
    </row>
    <row r="36">
      <c r="A36">
        <f>IF('Famílias'!A34="","",'Famílias'!A34)</f>
        <v/>
      </c>
    </row>
    <row r="37">
      <c r="A37">
        <f>IF('Famílias'!A35="","",'Famílias'!A35)</f>
        <v/>
      </c>
    </row>
    <row r="38">
      <c r="A38">
        <f>IF('Famílias'!A36="","",'Famílias'!A36)</f>
        <v/>
      </c>
    </row>
    <row r="39">
      <c r="A39">
        <f>IF('Famílias'!A37="","",'Famílias'!A37)</f>
        <v/>
      </c>
    </row>
    <row r="40">
      <c r="A40">
        <f>IF('Famílias'!A38="","",'Famílias'!A38)</f>
        <v/>
      </c>
    </row>
    <row r="41">
      <c r="A41">
        <f>IF('Famílias'!A39="","",'Famílias'!A39)</f>
        <v/>
      </c>
    </row>
    <row r="42">
      <c r="A42">
        <f>IF('Famílias'!A40="","",'Famílias'!A40)</f>
        <v/>
      </c>
    </row>
    <row r="43">
      <c r="A43">
        <f>IF('Famílias'!A41="","",'Famílias'!A41)</f>
        <v/>
      </c>
    </row>
    <row r="44">
      <c r="A44">
        <f>IF('Famílias'!A42="","",'Famílias'!A42)</f>
        <v/>
      </c>
    </row>
    <row r="45">
      <c r="A45">
        <f>IF('Famílias'!A43="","",'Famílias'!A43)</f>
        <v/>
      </c>
    </row>
    <row r="46">
      <c r="A46">
        <f>IF('Famílias'!A44="","",'Famílias'!A44)</f>
        <v/>
      </c>
    </row>
    <row r="47">
      <c r="A47">
        <f>IF('Famílias'!A45="","",'Famílias'!A45)</f>
        <v/>
      </c>
    </row>
    <row r="48">
      <c r="A48">
        <f>IF('Famílias'!A46="","",'Famílias'!A46)</f>
        <v/>
      </c>
    </row>
    <row r="49">
      <c r="A49">
        <f>IF('Famílias'!A47="","",'Famílias'!A47)</f>
        <v/>
      </c>
    </row>
    <row r="50">
      <c r="A50">
        <f>IF('Famílias'!A48="","",'Famílias'!A48)</f>
        <v/>
      </c>
    </row>
    <row r="51">
      <c r="A51">
        <f>IF('Famílias'!A49="","",'Famílias'!A49)</f>
        <v/>
      </c>
    </row>
    <row r="52">
      <c r="A52">
        <f>IF('Famílias'!A50="","",'Famílias'!A50)</f>
        <v/>
      </c>
    </row>
    <row r="53">
      <c r="A53">
        <f>IF('Famílias'!A51="","",'Famílias'!A51)</f>
        <v/>
      </c>
    </row>
    <row r="54">
      <c r="A54">
        <f>IF('Famílias'!A52="","",'Famílias'!A52)</f>
        <v/>
      </c>
    </row>
    <row r="55">
      <c r="A55">
        <f>IF('Famílias'!A53="","",'Famílias'!A53)</f>
        <v/>
      </c>
    </row>
    <row r="56">
      <c r="A56">
        <f>IF('Famílias'!A54="","",'Famílias'!A54)</f>
        <v/>
      </c>
    </row>
    <row r="57">
      <c r="A57">
        <f>IF('Famílias'!A55="","",'Famílias'!A55)</f>
        <v/>
      </c>
    </row>
    <row r="58">
      <c r="A58">
        <f>IF('Famílias'!A56="","",'Famílias'!A56)</f>
        <v/>
      </c>
    </row>
    <row r="59">
      <c r="A59">
        <f>IF('Famílias'!A57="","",'Famílias'!A57)</f>
        <v/>
      </c>
    </row>
    <row r="60">
      <c r="A60">
        <f>IF('Famílias'!A58="","",'Famílias'!A58)</f>
        <v/>
      </c>
    </row>
    <row r="61">
      <c r="A61">
        <f>IF('Famílias'!A59="","",'Famílias'!A59)</f>
        <v/>
      </c>
    </row>
    <row r="62">
      <c r="A62">
        <f>IF('Famílias'!A60="","",'Famílias'!A60)</f>
        <v/>
      </c>
    </row>
    <row r="63">
      <c r="A63">
        <f>IF('Famílias'!A61="","",'Famílias'!A61)</f>
        <v/>
      </c>
    </row>
    <row r="64">
      <c r="A64">
        <f>IF('Famílias'!A62="","",'Famílias'!A62)</f>
        <v/>
      </c>
    </row>
    <row r="65">
      <c r="A65">
        <f>IF('Famílias'!A63="","",'Famílias'!A63)</f>
        <v/>
      </c>
    </row>
    <row r="66">
      <c r="A66">
        <f>IF('Famílias'!A64="","",'Famílias'!A64)</f>
        <v/>
      </c>
    </row>
    <row r="67">
      <c r="A67">
        <f>IF('Famílias'!A65="","",'Famílias'!A65)</f>
        <v/>
      </c>
    </row>
    <row r="68">
      <c r="A68">
        <f>IF('Famílias'!A66="","",'Famílias'!A66)</f>
        <v/>
      </c>
    </row>
    <row r="69">
      <c r="A69">
        <f>IF('Famílias'!A67="","",'Famílias'!A67)</f>
        <v/>
      </c>
    </row>
    <row r="70">
      <c r="A70">
        <f>IF('Famílias'!A68="","",'Famílias'!A68)</f>
        <v/>
      </c>
    </row>
    <row r="71">
      <c r="A71">
        <f>IF('Famílias'!A69="","",'Famílias'!A69)</f>
        <v/>
      </c>
    </row>
    <row r="72">
      <c r="A72">
        <f>IF('Famílias'!A70="","",'Famílias'!A70)</f>
        <v/>
      </c>
    </row>
    <row r="73">
      <c r="A73">
        <f>IF('Famílias'!A71="","",'Famílias'!A71)</f>
        <v/>
      </c>
    </row>
    <row r="74">
      <c r="A74">
        <f>IF('Famílias'!A72="","",'Famílias'!A72)</f>
        <v/>
      </c>
    </row>
    <row r="75">
      <c r="A75">
        <f>IF('Famílias'!A73="","",'Famílias'!A73)</f>
        <v/>
      </c>
    </row>
    <row r="76">
      <c r="A76">
        <f>IF('Famílias'!A74="","",'Famílias'!A74)</f>
        <v/>
      </c>
    </row>
    <row r="77">
      <c r="A77">
        <f>IF('Famílias'!A75="","",'Famílias'!A75)</f>
        <v/>
      </c>
    </row>
    <row r="78">
      <c r="A78">
        <f>IF('Famílias'!A76="","",'Famílias'!A76)</f>
        <v/>
      </c>
    </row>
    <row r="79">
      <c r="A79">
        <f>IF('Famílias'!A77="","",'Famílias'!A77)</f>
        <v/>
      </c>
    </row>
    <row r="80">
      <c r="A80">
        <f>IF('Famílias'!A78="","",'Famílias'!A78)</f>
        <v/>
      </c>
    </row>
    <row r="81">
      <c r="A81">
        <f>IF('Famílias'!A79="","",'Famílias'!A79)</f>
        <v/>
      </c>
    </row>
    <row r="82">
      <c r="A82">
        <f>IF('Famílias'!A80="","",'Famílias'!A80)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2026-10-01T18:59:51Z</dcterms:created>
  <dcterms:modified xmlns:dcterms="http://purl.org/dc/terms/" xmlns:xsi="http://www.w3.org/2001/XMLSchema-instance" xsi:type="dcterms:W3CDTF">2026-10-05T14:02:31Z</dcterms:modified>
</cp:coreProperties>
</file>